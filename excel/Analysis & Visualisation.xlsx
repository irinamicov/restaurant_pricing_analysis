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irina/Desktop/DA/Projects/Restaurant Order Analysis in SQL/GitHub/excel/"/>
    </mc:Choice>
  </mc:AlternateContent>
  <xr:revisionPtr revIDLastSave="0" documentId="13_ncr:1_{037986C2-44D8-2944-818C-41B551C12079}" xr6:coauthVersionLast="47" xr6:coauthVersionMax="47" xr10:uidLastSave="{00000000-0000-0000-0000-000000000000}"/>
  <bookViews>
    <workbookView xWindow="-16260" yWindow="-28200" windowWidth="68800" windowHeight="26880" activeTab="2" xr2:uid="{DCE0E183-8A0C-AE41-8937-E81367829F48}"/>
  </bookViews>
  <sheets>
    <sheet name="Menu &amp; Pricing Analysis" sheetId="4" r:id="rId1"/>
    <sheet name="Ordering Behaviour" sheetId="3" r:id="rId2"/>
    <sheet name="Sales Performance" sheetId="2" r:id="rId3"/>
  </sheets>
  <calcPr calcId="191029"/>
  <pivotCaches>
    <pivotCache cacheId="28" r:id="rId4"/>
    <pivotCache cacheId="29" r:id="rId5"/>
    <pivotCache cacheId="30" r:id="rId6"/>
    <pivotCache cacheId="3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2" l="1"/>
  <c r="L97" i="2" s="1"/>
  <c r="I98" i="2"/>
  <c r="L98" i="2" s="1"/>
  <c r="I99" i="2"/>
  <c r="L99" i="2" s="1"/>
  <c r="I100" i="2"/>
  <c r="L100" i="2" s="1"/>
  <c r="I101" i="2"/>
  <c r="L101" i="2" s="1"/>
  <c r="I102" i="2"/>
  <c r="L102" i="2" s="1"/>
  <c r="I103" i="2"/>
  <c r="L103" i="2" s="1"/>
  <c r="I104" i="2"/>
  <c r="L104" i="2" s="1"/>
  <c r="I105" i="2"/>
  <c r="L105" i="2" s="1"/>
  <c r="I106" i="2"/>
  <c r="L106" i="2" s="1"/>
  <c r="I107" i="2"/>
  <c r="L107" i="2" s="1"/>
  <c r="I108" i="2"/>
  <c r="L108" i="2" s="1"/>
  <c r="I109" i="2"/>
  <c r="L109" i="2" s="1"/>
  <c r="I110" i="2"/>
  <c r="L110" i="2" s="1"/>
  <c r="I111" i="2"/>
  <c r="L111" i="2" s="1"/>
  <c r="I112" i="2"/>
  <c r="L112" i="2" s="1"/>
  <c r="I113" i="2"/>
  <c r="L113" i="2" s="1"/>
  <c r="I114" i="2"/>
  <c r="L114" i="2" s="1"/>
  <c r="I115" i="2"/>
  <c r="L115" i="2" s="1"/>
  <c r="I116" i="2"/>
  <c r="L116" i="2" s="1"/>
  <c r="I117" i="2"/>
  <c r="L117" i="2" s="1"/>
  <c r="I118" i="2"/>
  <c r="L118" i="2" s="1"/>
  <c r="I119" i="2"/>
  <c r="L119" i="2" s="1"/>
  <c r="I120" i="2"/>
  <c r="L120" i="2" s="1"/>
  <c r="I121" i="2"/>
  <c r="L121" i="2" s="1"/>
  <c r="I122" i="2"/>
  <c r="L122" i="2" s="1"/>
  <c r="I123" i="2"/>
  <c r="L123" i="2" s="1"/>
  <c r="I124" i="2"/>
  <c r="L124" i="2" s="1"/>
  <c r="I125" i="2"/>
  <c r="L125" i="2" s="1"/>
  <c r="I126" i="2"/>
  <c r="L126" i="2" s="1"/>
  <c r="I127" i="2"/>
  <c r="L127" i="2" s="1"/>
  <c r="I96" i="2"/>
  <c r="L96" i="2" s="1"/>
  <c r="K9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E40" i="3"/>
  <c r="F20" i="3"/>
  <c r="F60" i="4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K87" i="2"/>
  <c r="L87" i="2"/>
  <c r="M87" i="2"/>
  <c r="N87" i="2"/>
  <c r="N82" i="2"/>
  <c r="M82" i="2"/>
  <c r="L82" i="2"/>
  <c r="K82" i="2"/>
  <c r="N81" i="2"/>
  <c r="M81" i="2"/>
  <c r="L81" i="2"/>
  <c r="K81" i="2"/>
  <c r="K59" i="2"/>
  <c r="K60" i="2"/>
  <c r="K61" i="2"/>
  <c r="K62" i="2"/>
  <c r="K63" i="2"/>
  <c r="L59" i="2"/>
  <c r="M59" i="2"/>
  <c r="N59" i="2"/>
  <c r="L60" i="2"/>
  <c r="M60" i="2"/>
  <c r="N60" i="2"/>
  <c r="L61" i="2"/>
  <c r="M61" i="2"/>
  <c r="N61" i="2"/>
  <c r="L62" i="2"/>
  <c r="M62" i="2"/>
  <c r="N62" i="2"/>
  <c r="L63" i="2"/>
  <c r="M63" i="2"/>
  <c r="N63" i="2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19" i="3"/>
  <c r="F59" i="4"/>
  <c r="F58" i="4"/>
  <c r="K20" i="4"/>
  <c r="K21" i="4"/>
  <c r="K22" i="4"/>
  <c r="K19" i="4"/>
  <c r="H39" i="2"/>
  <c r="H40" i="2"/>
  <c r="H41" i="2"/>
  <c r="H38" i="2"/>
  <c r="I30" i="2"/>
  <c r="I29" i="2"/>
  <c r="I28" i="2"/>
  <c r="I27" i="2"/>
  <c r="I26" i="2"/>
  <c r="I25" i="2"/>
  <c r="I31" i="2"/>
  <c r="I18" i="2"/>
  <c r="H5" i="2"/>
  <c r="I15" i="2"/>
  <c r="I14" i="2"/>
  <c r="I17" i="2"/>
  <c r="I16" i="2"/>
  <c r="H6" i="2"/>
  <c r="H7" i="2"/>
</calcChain>
</file>

<file path=xl/sharedStrings.xml><?xml version="1.0" encoding="utf-8"?>
<sst xmlns="http://schemas.openxmlformats.org/spreadsheetml/2006/main" count="478" uniqueCount="145">
  <si>
    <t>day_of_week</t>
  </si>
  <si>
    <t>avg_items_per_order</t>
  </si>
  <si>
    <t>Monday</t>
  </si>
  <si>
    <t>Tuesday</t>
  </si>
  <si>
    <t>Wednesday</t>
  </si>
  <si>
    <t>Thursday</t>
  </si>
  <si>
    <t>Friday</t>
  </si>
  <si>
    <t>Saturday</t>
  </si>
  <si>
    <t>Sunday</t>
  </si>
  <si>
    <t>order_hour</t>
  </si>
  <si>
    <t>time_bucket</t>
  </si>
  <si>
    <t>Brunch</t>
  </si>
  <si>
    <t>Lunch</t>
  </si>
  <si>
    <t>Afternoon</t>
  </si>
  <si>
    <t>Dinner</t>
  </si>
  <si>
    <t>Late Dinner</t>
  </si>
  <si>
    <t>num_orders</t>
  </si>
  <si>
    <t>Busiest and slowest days of the week</t>
  </si>
  <si>
    <t>Busiest and slowest order times (by hour)</t>
  </si>
  <si>
    <t>item_name</t>
  </si>
  <si>
    <t>category</t>
  </si>
  <si>
    <t>price</t>
  </si>
  <si>
    <t>Edamame</t>
  </si>
  <si>
    <t>Asian</t>
  </si>
  <si>
    <t>Shrimp Scampi</t>
  </si>
  <si>
    <t>Italian</t>
  </si>
  <si>
    <t>Cheapest and most expensive menu items</t>
  </si>
  <si>
    <t>price_tier</t>
  </si>
  <si>
    <t>items_sold</t>
  </si>
  <si>
    <t>Low-cost (&lt;$10)</t>
  </si>
  <si>
    <t>Mid-range ($10-$15)</t>
  </si>
  <si>
    <t>Premium ($16+)</t>
  </si>
  <si>
    <t>item_count</t>
  </si>
  <si>
    <t>total_revenue</t>
  </si>
  <si>
    <t>Chips &amp; Salsa</t>
  </si>
  <si>
    <t>Mac &amp; Cheese</t>
  </si>
  <si>
    <t>French Fries</t>
  </si>
  <si>
    <t>Chips &amp; Guacamole</t>
  </si>
  <si>
    <t>Hot Dog</t>
  </si>
  <si>
    <t>Potstickers</t>
  </si>
  <si>
    <t>Veggie Burger</t>
  </si>
  <si>
    <t>Cheese Quesadillas</t>
  </si>
  <si>
    <t>Chicken Torta</t>
  </si>
  <si>
    <t>Chicken Tacos</t>
  </si>
  <si>
    <t>California Roll</t>
  </si>
  <si>
    <t>Chicken Burrito</t>
  </si>
  <si>
    <t>Hamburger</t>
  </si>
  <si>
    <t>Steak Tacos</t>
  </si>
  <si>
    <t>Steak Torta</t>
  </si>
  <si>
    <t>Cheeseburger</t>
  </si>
  <si>
    <t>Tofu Pad Thai</t>
  </si>
  <si>
    <t>Spaghetti</t>
  </si>
  <si>
    <t>Fettuccine Alfredo</t>
  </si>
  <si>
    <t>Salmon Roll</t>
  </si>
  <si>
    <t>Steak Burrito</t>
  </si>
  <si>
    <t>Cheese Lasagna</t>
  </si>
  <si>
    <t>Mushroom Ravioli</t>
  </si>
  <si>
    <t>Orange Chicken</t>
  </si>
  <si>
    <t>Eggplant Parmesan</t>
  </si>
  <si>
    <t>Pork Ramen</t>
  </si>
  <si>
    <t>Korean Beef Bowl</t>
  </si>
  <si>
    <t>Spaghetti &amp; Meatballs</t>
  </si>
  <si>
    <t>Meat Lasagna</t>
  </si>
  <si>
    <t>Chicken Parmesan</t>
  </si>
  <si>
    <t>times_ordered</t>
  </si>
  <si>
    <t>American</t>
  </si>
  <si>
    <t>Mexican</t>
  </si>
  <si>
    <t>count</t>
  </si>
  <si>
    <t>Most common price points</t>
  </si>
  <si>
    <t>items_in_order</t>
  </si>
  <si>
    <t>avg_order_value</t>
  </si>
  <si>
    <t>Order sze distribution</t>
  </si>
  <si>
    <t>Items sold per pricing tier and day of week</t>
  </si>
  <si>
    <t>Average number of items per order times (by hour)</t>
  </si>
  <si>
    <t>Items sold per pricing tier and meal time bucket</t>
  </si>
  <si>
    <t>Orders and items placed per day of the week, total revenue and AOV</t>
  </si>
  <si>
    <t>Orders and items placed per meal time bucket, total revenue and AOV</t>
  </si>
  <si>
    <t>Price distribution per cuisine</t>
  </si>
  <si>
    <t>Most and least ordered items, cuisine, prices and total revenue</t>
  </si>
  <si>
    <t>num_dishes</t>
  </si>
  <si>
    <t>average_price</t>
  </si>
  <si>
    <t>min_price</t>
  </si>
  <si>
    <t>max_price</t>
  </si>
  <si>
    <t>price_variability</t>
  </si>
  <si>
    <t>Price distribution overall</t>
  </si>
  <si>
    <t>Menu items grouped by pricing tiers</t>
  </si>
  <si>
    <t>Price variability per cuisine</t>
  </si>
  <si>
    <t>% total_revenue</t>
  </si>
  <si>
    <t>🔑 Key Insight</t>
  </si>
  <si>
    <t>🗂️ Support</t>
  </si>
  <si>
    <t>Count of total menu items</t>
  </si>
  <si>
    <t>Least &amp; most expensive Italian dishes</t>
  </si>
  <si>
    <t>Date range of orders</t>
  </si>
  <si>
    <t>Unique orders &amp; total items ordered</t>
  </si>
  <si>
    <t>Large orders (&gt;10 items)</t>
  </si>
  <si>
    <t>Spatghetti</t>
  </si>
  <si>
    <t>y-position</t>
  </si>
  <si>
    <t>%</t>
  </si>
  <si>
    <t>Low-cost</t>
  </si>
  <si>
    <t>Mid-range</t>
  </si>
  <si>
    <t>Premium</t>
  </si>
  <si>
    <t>Row Labels</t>
  </si>
  <si>
    <t>Grand Total</t>
  </si>
  <si>
    <t>Column Labels</t>
  </si>
  <si>
    <t>Sum of item_count</t>
  </si>
  <si>
    <t>price labels fixed</t>
  </si>
  <si>
    <t>short labels</t>
  </si>
  <si>
    <t>diff</t>
  </si>
  <si>
    <t>labels</t>
  </si>
  <si>
    <t>Number of Orders</t>
  </si>
  <si>
    <t>Average Number of Items per Order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</si>
  <si>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</si>
  <si>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</si>
  <si>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</si>
  <si>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</si>
  <si>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</si>
  <si>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</si>
  <si>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</si>
  <si>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</si>
  <si>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</si>
  <si>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</si>
  <si>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</si>
  <si>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</si>
  <si>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</si>
  <si>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Sum of items_sold</t>
  </si>
  <si>
    <t>avg_price_per_item_sold</t>
  </si>
  <si>
    <t>Oders per cuisine and average price per item sold</t>
  </si>
  <si>
    <t>Revenue</t>
  </si>
  <si>
    <t>Number of Items Ordered</t>
  </si>
  <si>
    <t># time_bucket</t>
  </si>
  <si>
    <t>% orders</t>
  </si>
  <si>
    <t>end_date</t>
  </si>
  <si>
    <t>start_date</t>
  </si>
  <si>
    <t>total_orders</t>
  </si>
  <si>
    <t>total_items_ordered</t>
  </si>
  <si>
    <t>large_orders_count</t>
  </si>
  <si>
    <t>% of total</t>
  </si>
  <si>
    <t>total_menu_items</t>
  </si>
  <si>
    <t>Items sold, average item price &amp; total revenue per pricing tier</t>
  </si>
  <si>
    <t>% cuisine_revenue</t>
  </si>
  <si>
    <r>
      <rPr>
        <sz val="16"/>
        <color rgb="FF118AB2"/>
        <rFont val="Calibri (Body)"/>
      </rPr>
      <t xml:space="preserve">● </t>
    </r>
    <r>
      <rPr>
        <sz val="12"/>
        <color theme="1"/>
        <rFont val="Calibri"/>
        <family val="2"/>
        <scheme val="minor"/>
      </rPr>
      <t xml:space="preserve">American   </t>
    </r>
    <r>
      <rPr>
        <sz val="12"/>
        <color rgb="FFFCD164"/>
        <rFont val="Calibri (Body)"/>
      </rPr>
      <t xml:space="preserve">● </t>
    </r>
    <r>
      <rPr>
        <sz val="12"/>
        <color theme="1"/>
        <rFont val="Calibri"/>
        <family val="2"/>
        <scheme val="minor"/>
      </rPr>
      <t xml:space="preserve">Asian   </t>
    </r>
    <r>
      <rPr>
        <sz val="16"/>
        <color rgb="FF04D8A1"/>
        <rFont val="Calibri (Body)"/>
      </rPr>
      <t xml:space="preserve">● </t>
    </r>
    <r>
      <rPr>
        <sz val="12"/>
        <color theme="1"/>
        <rFont val="Calibri"/>
        <family val="2"/>
        <scheme val="minor"/>
      </rPr>
      <t xml:space="preserve">Italian   </t>
    </r>
    <r>
      <rPr>
        <sz val="12"/>
        <color rgb="FFEF476F"/>
        <rFont val="Calibri (Body)"/>
      </rPr>
      <t xml:space="preserve">● </t>
    </r>
    <r>
      <rPr>
        <sz val="12"/>
        <color theme="1"/>
        <rFont val="Calibri"/>
        <family val="2"/>
        <scheme val="minor"/>
      </rPr>
      <t>Mexican</t>
    </r>
  </si>
  <si>
    <t>% of Revenue by Menu Item per Cuisine</t>
  </si>
  <si>
    <t>Top revenue items</t>
  </si>
  <si>
    <t>% Revenue</t>
  </si>
  <si>
    <t>Price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</si>
</sst>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sz val="14"/>
      <color theme="1"/>
      <name val="Calibri"/>
      <family val="2"/>
      <scheme val="minor"/>
    </font>
    <font>
      <b/>
      <sz val="13"/>
      <color rgb="FF000000"/>
      <name val="Helvetica Neue"/>
      <family val="2"/>
    </font>
    <font>
      <sz val="13"/>
      <color theme="1"/>
      <name val="Helvetica Neue"/>
    </font>
    <font>
      <sz val="13"/>
      <color theme="1"/>
      <name val="Helvetica New"/>
    </font>
    <font>
      <sz val="13"/>
      <color rgb="FF000000"/>
      <name val="Helvetica New"/>
    </font>
    <font>
      <sz val="13"/>
      <color rgb="FF000000"/>
      <name val="Helvetica Neue"/>
    </font>
    <font>
      <sz val="10"/>
      <color rgb="FF000000"/>
      <name val="Helvetica Neue"/>
    </font>
    <font>
      <sz val="8"/>
      <name val="Calibri"/>
      <family val="2"/>
      <scheme val="minor"/>
    </font>
    <font>
      <sz val="12"/>
      <color rgb="FFEE3283"/>
      <name val="Calibri (Body)"/>
    </font>
    <font>
      <b/>
      <sz val="12"/>
      <color rgb="FF595959"/>
      <name val="Calibri"/>
      <family val="2"/>
    </font>
    <font>
      <b/>
      <sz val="11"/>
      <color rgb="FF595959"/>
      <name val="Calibri"/>
      <family val="2"/>
      <scheme val="minor"/>
    </font>
    <font>
      <b/>
      <sz val="12"/>
      <color theme="0"/>
      <name val="Calibri"/>
      <family val="2"/>
    </font>
    <font>
      <sz val="16"/>
      <color rgb="FF118AB2"/>
      <name val="Calibri (Body)"/>
    </font>
    <font>
      <sz val="16"/>
      <color rgb="FF04D8A1"/>
      <name val="Calibri (Body)"/>
    </font>
    <font>
      <sz val="12"/>
      <color rgb="FFFCD164"/>
      <name val="Calibri (Body)"/>
    </font>
    <font>
      <sz val="12"/>
      <color rgb="FFEF476F"/>
      <name val="Calibri (Body)"/>
    </font>
    <font>
      <sz val="11"/>
      <color theme="1"/>
      <name val="Calibri"/>
      <family val="2"/>
      <scheme val="minor"/>
    </font>
    <font>
      <sz val="12"/>
      <color theme="0"/>
      <name val="Aptos Narrow"/>
      <family val="2"/>
    </font>
    <font>
      <sz val="12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F476F"/>
        <bgColor indexed="64"/>
      </patternFill>
    </fill>
    <fill>
      <patternFill patternType="solid">
        <fgColor rgb="FF0AD7A0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118AB2"/>
        <bgColor indexed="64"/>
      </patternFill>
    </fill>
  </fills>
  <borders count="2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ck">
        <color theme="0"/>
      </right>
      <top/>
      <bottom/>
      <diagonal/>
    </border>
    <border>
      <left style="thin">
        <color rgb="FFCCCCCC"/>
      </left>
      <right style="thick">
        <color theme="0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2" fillId="0" borderId="0" xfId="0" applyFont="1"/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Continuous"/>
    </xf>
    <xf numFmtId="0" fontId="5" fillId="2" borderId="4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Continuous"/>
    </xf>
    <xf numFmtId="0" fontId="3" fillId="0" borderId="1" xfId="0" applyFont="1" applyBorder="1"/>
    <xf numFmtId="0" fontId="3" fillId="3" borderId="1" xfId="0" applyFont="1" applyFill="1" applyBorder="1"/>
    <xf numFmtId="0" fontId="6" fillId="2" borderId="2" xfId="0" applyFont="1" applyFill="1" applyBorder="1" applyAlignment="1">
      <alignment horizontal="centerContinuous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Continuous"/>
    </xf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 applyAlignment="1">
      <alignment vertical="center"/>
    </xf>
    <xf numFmtId="9" fontId="0" fillId="0" borderId="0" xfId="1" applyFont="1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20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9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6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/>
    <xf numFmtId="9" fontId="0" fillId="0" borderId="1" xfId="1" applyFont="1" applyBorder="1" applyAlignment="1">
      <alignment horizontal="center"/>
    </xf>
    <xf numFmtId="164" fontId="2" fillId="0" borderId="1" xfId="2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Continuous"/>
    </xf>
    <xf numFmtId="0" fontId="22" fillId="10" borderId="16" xfId="0" applyFont="1" applyFill="1" applyBorder="1"/>
    <xf numFmtId="0" fontId="21" fillId="6" borderId="0" xfId="0" applyFont="1" applyFill="1"/>
    <xf numFmtId="0" fontId="13" fillId="6" borderId="0" xfId="0" applyFont="1" applyFill="1"/>
    <xf numFmtId="0" fontId="13" fillId="6" borderId="15" xfId="0" applyFont="1" applyFill="1" applyBorder="1"/>
    <xf numFmtId="0" fontId="23" fillId="9" borderId="16" xfId="0" applyFont="1" applyFill="1" applyBorder="1"/>
    <xf numFmtId="0" fontId="23" fillId="8" borderId="16" xfId="0" applyFont="1" applyFill="1" applyBorder="1"/>
    <xf numFmtId="0" fontId="22" fillId="7" borderId="16" xfId="0" applyFont="1" applyFill="1" applyBorder="1"/>
    <xf numFmtId="0" fontId="22" fillId="7" borderId="17" xfId="0" applyFont="1" applyFill="1" applyBorder="1"/>
    <xf numFmtId="0" fontId="21" fillId="6" borderId="18" xfId="0" applyFont="1" applyFill="1" applyBorder="1"/>
    <xf numFmtId="0" fontId="13" fillId="6" borderId="18" xfId="0" applyFont="1" applyFill="1" applyBorder="1"/>
    <xf numFmtId="0" fontId="13" fillId="6" borderId="19" xfId="0" applyFont="1" applyFill="1" applyBorder="1"/>
    <xf numFmtId="0" fontId="0" fillId="0" borderId="14" xfId="0" applyBorder="1" applyAlignment="1">
      <alignment horizontal="centerContinuous" vertical="top"/>
    </xf>
    <xf numFmtId="0" fontId="5" fillId="0" borderId="11" xfId="0" applyFont="1" applyBorder="1" applyAlignment="1">
      <alignment horizontal="centerContinuous" vertical="top"/>
    </xf>
    <xf numFmtId="0" fontId="0" fillId="0" borderId="12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5" xfId="0" applyBorder="1" applyAlignment="1">
      <alignment horizontal="centerContinuous" vertical="top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0" xfId="0" applyBorder="1"/>
    <xf numFmtId="0" fontId="0" fillId="0" borderId="18" xfId="0" applyBorder="1"/>
    <xf numFmtId="0" fontId="0" fillId="0" borderId="19" xfId="0" applyBorder="1"/>
  </cellXfs>
  <cellStyles count="3">
    <cellStyle name="Currency" xfId="2" builtinId="4"/>
    <cellStyle name="Normal" xfId="0" builtinId="0"/>
    <cellStyle name="Percent" xfId="1" builtinId="5"/>
  </cellStyles>
  <dxfs count="10">
    <dxf>
      <fill>
        <patternFill>
          <bgColor rgb="FFEF476F"/>
        </patternFill>
      </fill>
    </dxf>
    <dxf>
      <fill>
        <patternFill>
          <bgColor rgb="FFFFD266"/>
        </patternFill>
      </fill>
    </dxf>
    <dxf>
      <fill>
        <patternFill>
          <bgColor rgb="FF0AD7A0"/>
        </patternFill>
      </fill>
    </dxf>
    <dxf>
      <fill>
        <patternFill>
          <bgColor rgb="FF00B0F0"/>
        </patternFill>
      </fill>
    </dxf>
    <dxf>
      <numFmt numFmtId="164" formatCode="&quot;$&quot;#,##0.00"/>
    </dxf>
    <dxf>
      <alignment vertical="center"/>
    </dxf>
    <dxf>
      <alignment horizontal="center"/>
    </dxf>
    <dxf>
      <alignment vertical="center"/>
    </dxf>
    <dxf>
      <numFmt numFmtId="0" formatCode="General"/>
    </dxf>
    <dxf>
      <numFmt numFmtId="13" formatCode="0%"/>
    </dxf>
  </dxfs>
  <tableStyles count="0" defaultTableStyle="TableStyleMedium2" defaultPivotStyle="PivotStyleLight16"/>
  <colors>
    <mruColors>
      <color rgb="FFCCCCCC"/>
      <color rgb="FFA8A8A8"/>
      <color rgb="FF04D8A1"/>
      <color rgb="FFE7E6E6"/>
      <color rgb="FFEF476F"/>
      <color rgb="FFFCD164"/>
      <color rgb="FF118AB2"/>
      <color rgb="FFFFD366"/>
      <color rgb="FF0AD7A0"/>
      <color rgb="FFFFE6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Price Range by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45611719892793"/>
          <c:y val="0.12181215561064491"/>
          <c:w val="0.81114626863288086"/>
          <c:h val="0.802016322487452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'Menu &amp; Pricing Analysis'!$G$18</c:f>
              <c:strCache>
                <c:ptCount val="1"/>
                <c:pt idx="0">
                  <c:v>min_price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D166"/>
              </a:solidFill>
              <a:ln w="15875">
                <a:solidFill>
                  <a:srgbClr val="E5BE5D"/>
                </a:solidFill>
              </a:ln>
              <a:effectLst/>
            </c:spPr>
          </c:marker>
          <c:dPt>
            <c:idx val="1"/>
            <c:marker>
              <c:symbol val="circle"/>
              <c:size val="10"/>
              <c:spPr>
                <a:solidFill>
                  <a:srgbClr val="0AD7A0"/>
                </a:solidFill>
                <a:ln w="15875">
                  <a:solidFill>
                    <a:srgbClr val="07AD8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69E-4A41-9605-C407D65093E3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0AD7A0"/>
                </a:solidFill>
                <a:ln w="15875">
                  <a:solidFill>
                    <a:srgbClr val="07AD8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69E-4A41-9605-C407D65093E3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0AD7A0"/>
                </a:solidFill>
                <a:ln w="15875">
                  <a:solidFill>
                    <a:srgbClr val="07AD8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69E-4A41-9605-C407D65093E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35FCE7-EE16-8F47-9BDC-C00330516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69E-4A41-9605-C407D65093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461AF1-95F0-8540-8C24-E1CD7EDDD9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69E-4A41-9605-C407D65093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EEDC4C-A7F3-0C4F-A5F0-07F08E6C4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69E-4A41-9605-C407D65093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42E1D11-5DC2-F340-BC79-72E843C5E3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69E-4A41-9605-C407D65093E3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'Menu &amp; Pricing Analysis'!$G$19:$G$22</c:f>
              <c:numCache>
                <c:formatCode>"$"#,##0.00</c:formatCode>
                <c:ptCount val="4"/>
                <c:pt idx="0">
                  <c:v>14.5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</c:numCache>
            </c:numRef>
          </c:xVal>
          <c:yVal>
            <c:numRef>
              <c:f>'Menu &amp; Pricing Analysis'!$J$19:$J$22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'Menu &amp; Pricing Analysis'!$G$19:$G$22</c15:f>
                <c15:dlblRangeCache>
                  <c:ptCount val="4"/>
                  <c:pt idx="0">
                    <c:v>$14.50</c:v>
                  </c:pt>
                  <c:pt idx="1">
                    <c:v>$5.00</c:v>
                  </c:pt>
                  <c:pt idx="2">
                    <c:v>$7.00</c:v>
                  </c:pt>
                  <c:pt idx="3">
                    <c:v>$7.00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69E-4A41-9605-C407D65093E3}"/>
            </c:ext>
          </c:extLst>
        </c:ser>
        <c:ser>
          <c:idx val="1"/>
          <c:order val="1"/>
          <c:tx>
            <c:strRef>
              <c:f>'Menu &amp; Pricing Analysis'!$H$18</c:f>
              <c:strCache>
                <c:ptCount val="1"/>
                <c:pt idx="0">
                  <c:v>max_price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EE3283"/>
              </a:solidFill>
              <a:ln w="15875">
                <a:solidFill>
                  <a:srgbClr val="B4355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AF8AEC6-6DAE-B246-AE56-C484C3742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69E-4A41-9605-C407D65093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D3169D-FD95-5546-9200-77BA5826B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69E-4A41-9605-C407D65093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ABC438-EDAB-0A45-AC1B-22BFAFD2A4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69E-4A41-9605-C407D65093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54775B-37CC-E64E-A412-97CB5300D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69E-4A41-9605-C407D65093E3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'Menu &amp; Pricing Analysis'!$K$19:$K$22</c:f>
                <c:numCache>
                  <c:formatCode>General</c:formatCode>
                  <c:ptCount val="4"/>
                  <c:pt idx="0">
                    <c:v>5.4499999999999993</c:v>
                  </c:pt>
                  <c:pt idx="1">
                    <c:v>12.95</c:v>
                  </c:pt>
                  <c:pt idx="2">
                    <c:v>7.9499999999999993</c:v>
                  </c:pt>
                  <c:pt idx="3">
                    <c:v>6.9499999999999993</c:v>
                  </c:pt>
                </c:numCache>
              </c:numRef>
            </c:minus>
            <c:spPr>
              <a:noFill/>
              <a:ln w="101600" cap="flat" cmpd="sng" algn="ctr">
                <a:solidFill>
                  <a:schemeClr val="bg2"/>
                </a:solidFill>
                <a:round/>
              </a:ln>
              <a:effectLst/>
            </c:spPr>
          </c:errBars>
          <c:xVal>
            <c:numRef>
              <c:f>'Menu &amp; Pricing Analysis'!$H$19:$H$22</c:f>
              <c:numCache>
                <c:formatCode>"$"#,##0.00</c:formatCode>
                <c:ptCount val="4"/>
                <c:pt idx="0">
                  <c:v>19.95</c:v>
                </c:pt>
                <c:pt idx="1">
                  <c:v>17.95</c:v>
                </c:pt>
                <c:pt idx="2">
                  <c:v>14.95</c:v>
                </c:pt>
                <c:pt idx="3">
                  <c:v>13.95</c:v>
                </c:pt>
              </c:numCache>
            </c:numRef>
          </c:xVal>
          <c:yVal>
            <c:numRef>
              <c:f>'Menu &amp; Pricing Analysis'!$J$19:$J$22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'Menu &amp; Pricing Analysis'!$H$19:$H$22</c15:f>
                <c15:dlblRangeCache>
                  <c:ptCount val="4"/>
                  <c:pt idx="0">
                    <c:v>$19.95</c:v>
                  </c:pt>
                  <c:pt idx="1">
                    <c:v>$17.95</c:v>
                  </c:pt>
                  <c:pt idx="2">
                    <c:v>$14.95</c:v>
                  </c:pt>
                  <c:pt idx="3">
                    <c:v>$13.95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69E-4A41-9605-C407D65093E3}"/>
            </c:ext>
          </c:extLst>
        </c:ser>
        <c:ser>
          <c:idx val="2"/>
          <c:order val="2"/>
          <c:tx>
            <c:strRef>
              <c:f>'Menu &amp; Pricing Analysis'!$L$18</c:f>
              <c:strCache>
                <c:ptCount val="1"/>
                <c:pt idx="0">
                  <c:v>labels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5B29CDA-2185-494E-940B-33EFCCE588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69E-4A41-9605-C407D65093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CDA42A-B6A9-C64D-A14F-AA7331D7C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69E-4A41-9605-C407D65093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6D9699-2EB5-6A4B-8A0C-A13A64943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69E-4A41-9605-C407D65093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1CEDEE2-6771-5B40-9548-2994FA655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69E-4A41-9605-C407D6509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'Menu &amp; Pricing Analysis'!$L$19:$L$22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'Menu &amp; Pricing Analysis'!$J$19:$J$22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'Menu &amp; Pricing Analysis'!$D$19:$D$22</c15:f>
                <c15:dlblRangeCache>
                  <c:ptCount val="4"/>
                  <c:pt idx="0">
                    <c:v>Italian</c:v>
                  </c:pt>
                  <c:pt idx="1">
                    <c:v>Asian</c:v>
                  </c:pt>
                  <c:pt idx="2">
                    <c:v>Mexican</c:v>
                  </c:pt>
                  <c:pt idx="3">
                    <c:v>American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69E-4A41-9605-C407D6509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17104"/>
        <c:axId val="2051267568"/>
      </c:scatterChart>
      <c:valAx>
        <c:axId val="1906171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2">
                  <a:alpha val="50187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2051267568"/>
        <c:crosses val="autoZero"/>
        <c:crossBetween val="midCat"/>
        <c:majorUnit val="2.5"/>
      </c:valAx>
      <c:valAx>
        <c:axId val="2051267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61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Tier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8994140883905"/>
          <c:y val="0.15496970406580218"/>
          <c:w val="0.66086416439106732"/>
          <c:h val="0.70046687937242047"/>
        </c:manualLayout>
      </c:layout>
      <c:doughnutChart>
        <c:varyColors val="1"/>
        <c:ser>
          <c:idx val="0"/>
          <c:order val="0"/>
          <c:tx>
            <c:strRef>
              <c:f>'Menu &amp; Pricing Analysis'!$E$57</c:f>
              <c:strCache>
                <c:ptCount val="1"/>
                <c:pt idx="0">
                  <c:v>item_count</c:v>
                </c:pt>
              </c:strCache>
            </c:strRef>
          </c:tx>
          <c:dPt>
            <c:idx val="0"/>
            <c:bubble3D val="0"/>
            <c:spPr>
              <a:solidFill>
                <a:srgbClr val="0AD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7F-ED4D-916C-35C253555DF5}"/>
              </c:ext>
            </c:extLst>
          </c:dPt>
          <c:dPt>
            <c:idx val="1"/>
            <c:bubble3D val="0"/>
            <c:spPr>
              <a:solidFill>
                <a:srgbClr val="FFD2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7F-ED4D-916C-35C253555DF5}"/>
              </c:ext>
            </c:extLst>
          </c:dPt>
          <c:dPt>
            <c:idx val="2"/>
            <c:bubble3D val="0"/>
            <c:spPr>
              <a:solidFill>
                <a:srgbClr val="EF47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F-ED4D-916C-35C253555DF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27F-ED4D-916C-35C253555D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'Menu &amp; Pricing Analysis'!$G$58:$G$60</c:f>
              <c:strCache>
                <c:ptCount val="3"/>
                <c:pt idx="0">
                  <c:v>Low-cost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'Menu &amp; Pricing Analysis'!$E$58:$E$60</c:f>
              <c:numCache>
                <c:formatCode>General</c:formatCode>
                <c:ptCount val="3"/>
                <c:pt idx="0">
                  <c:v>7</c:v>
                </c:pt>
                <c:pt idx="1">
                  <c:v>15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F-ED4D-916C-35C253555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35043788718329"/>
          <c:y val="0.16235193889937066"/>
          <c:w val="0.66129912422563342"/>
          <c:h val="0.70055899492671214"/>
        </c:manualLayout>
      </c:layout>
      <c:doughnutChart>
        <c:varyColors val="1"/>
        <c:ser>
          <c:idx val="0"/>
          <c:order val="0"/>
          <c:tx>
            <c:strRef>
              <c:f>'Menu &amp; Pricing Analysis'!$E$18</c:f>
              <c:strCache>
                <c:ptCount val="1"/>
                <c:pt idx="0">
                  <c:v>num_dishes</c:v>
                </c:pt>
              </c:strCache>
            </c:strRef>
          </c:tx>
          <c:dPt>
            <c:idx val="0"/>
            <c:bubble3D val="0"/>
            <c:spPr>
              <a:solidFill>
                <a:srgbClr val="0AD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8A-6341-BD12-ED17BFC7C30C}"/>
              </c:ext>
            </c:extLst>
          </c:dPt>
          <c:dPt>
            <c:idx val="1"/>
            <c:bubble3D val="0"/>
            <c:spPr>
              <a:solidFill>
                <a:srgbClr val="FFD2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8A-6341-BD12-ED17BFC7C30C}"/>
              </c:ext>
            </c:extLst>
          </c:dPt>
          <c:dPt>
            <c:idx val="2"/>
            <c:bubble3D val="0"/>
            <c:spPr>
              <a:solidFill>
                <a:srgbClr val="EF47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8A-6341-BD12-ED17BFC7C30C}"/>
              </c:ext>
            </c:extLst>
          </c:dPt>
          <c:dPt>
            <c:idx val="3"/>
            <c:bubble3D val="0"/>
            <c:spPr>
              <a:solidFill>
                <a:srgbClr val="118AB2"/>
              </a:solidFill>
              <a:ln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18A-6341-BD12-ED17BFC7C30C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18A-6341-BD12-ED17BFC7C3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'Menu &amp; Pricing Analysis'!$D$19:$D$22</c:f>
              <c:strCache>
                <c:ptCount val="4"/>
                <c:pt idx="0">
                  <c:v>Italian</c:v>
                </c:pt>
                <c:pt idx="1">
                  <c:v>Asian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'Menu &amp; Pricing Analysis'!$E$19:$E$22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8A-6341-BD12-ED17BFC7C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1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D9D9D9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&amp; Visualisation.xlsx]Menu &amp; Pricing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Distribution Per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AD7A0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36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F476F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F476F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AD7A0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F476F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'Menu &amp; Pricing Analysis'!$J$67:$J$68</c:f>
              <c:strCache>
                <c:ptCount val="1"/>
                <c:pt idx="0">
                  <c:v>Low-cost</c:v>
                </c:pt>
              </c:strCache>
            </c:strRef>
          </c:tx>
          <c:spPr>
            <a:solidFill>
              <a:srgbClr val="0AD7A0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DCC-3647-95B9-9975A8CBCCDC}"/>
              </c:ext>
            </c:extLst>
          </c:dPt>
          <c:dPt>
            <c:idx val="3"/>
            <c:invertIfNegative val="0"/>
            <c:bubble3D val="0"/>
            <c:spPr>
              <a:solidFill>
                <a:srgbClr val="0AD7A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EB-B246-9F49-B4BDBDB0B47D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EB-B246-9F49-B4BDBDB0B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'Menu &amp; Pricing Analysis'!$I$69:$I$72</c:f>
              <c:strCache>
                <c:ptCount val="4"/>
                <c:pt idx="0">
                  <c:v>American</c:v>
                </c:pt>
                <c:pt idx="1">
                  <c:v>Mexican</c:v>
                </c:pt>
                <c:pt idx="2">
                  <c:v>Asian</c:v>
                </c:pt>
                <c:pt idx="3">
                  <c:v>Italian</c:v>
                </c:pt>
              </c:strCache>
            </c:strRef>
          </c:cat>
          <c:val>
            <c:numRef>
              <c:f>'Menu &amp; Pricing Analysis'!$J$69:$J$72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C-3647-95B9-9975A8CBCCDC}"/>
            </c:ext>
          </c:extLst>
        </c:ser>
        <c:ser>
          <c:idx val="1"/>
          <c:order val="1"/>
          <c:tx>
            <c:strRef>
              <c:f>'Menu &amp; Pricing Analysis'!$K$67:$K$68</c:f>
              <c:strCache>
                <c:ptCount val="1"/>
                <c:pt idx="0">
                  <c:v>Mid-range</c:v>
                </c:pt>
              </c:strCache>
            </c:strRef>
          </c:tx>
          <c:spPr>
            <a:solidFill>
              <a:srgbClr val="FFD36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'Menu &amp; Pricing Analysis'!$I$69:$I$72</c:f>
              <c:strCache>
                <c:ptCount val="4"/>
                <c:pt idx="0">
                  <c:v>American</c:v>
                </c:pt>
                <c:pt idx="1">
                  <c:v>Mexican</c:v>
                </c:pt>
                <c:pt idx="2">
                  <c:v>Asian</c:v>
                </c:pt>
                <c:pt idx="3">
                  <c:v>Italian</c:v>
                </c:pt>
              </c:strCache>
            </c:strRef>
          </c:cat>
          <c:val>
            <c:numRef>
              <c:f>'Menu &amp; Pricing Analysis'!$K$69:$K$72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C-3647-95B9-9975A8CBCCDC}"/>
            </c:ext>
          </c:extLst>
        </c:ser>
        <c:ser>
          <c:idx val="2"/>
          <c:order val="2"/>
          <c:tx>
            <c:strRef>
              <c:f>'Menu &amp; Pricing Analysis'!$L$67:$L$68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EF476F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476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DCC-3647-95B9-9975A8CBCCDC}"/>
              </c:ext>
            </c:extLst>
          </c:dPt>
          <c:dPt>
            <c:idx val="1"/>
            <c:invertIfNegative val="0"/>
            <c:bubble3D val="0"/>
            <c:spPr>
              <a:solidFill>
                <a:srgbClr val="EF476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FEB-B246-9F49-B4BDBDB0B47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DCC-3647-95B9-9975A8CBCC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CC-3647-95B9-9975A8CBCC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EB-B246-9F49-B4BDBDB0B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'Menu &amp; Pricing Analysis'!$I$69:$I$72</c:f>
              <c:strCache>
                <c:ptCount val="4"/>
                <c:pt idx="0">
                  <c:v>American</c:v>
                </c:pt>
                <c:pt idx="1">
                  <c:v>Mexican</c:v>
                </c:pt>
                <c:pt idx="2">
                  <c:v>Asian</c:v>
                </c:pt>
                <c:pt idx="3">
                  <c:v>Italian</c:v>
                </c:pt>
              </c:strCache>
            </c:strRef>
          </c:cat>
          <c:val>
            <c:numRef>
              <c:f>'Menu &amp; Pricing Analysis'!$L$69:$L$72</c:f>
              <c:numCache>
                <c:formatCode>General</c:formatCode>
                <c:ptCount val="4"/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CC-3647-95B9-9975A8CBC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68693872"/>
        <c:axId val="1568695584"/>
      </c:barChart>
      <c:catAx>
        <c:axId val="156869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95584"/>
        <c:crosses val="autoZero"/>
        <c:auto val="1"/>
        <c:lblAlgn val="ctr"/>
        <c:lblOffset val="100"/>
        <c:noMultiLvlLbl val="0"/>
      </c:catAx>
      <c:valAx>
        <c:axId val="1568695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869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Point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/>
          </a:solidFill>
          <a:ln>
            <a:solidFill>
              <a:srgbClr val="0AD7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solidFill>
              <a:srgbClr val="EF476F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2"/>
            </a:solidFill>
            <a:ln>
              <a:solidFill>
                <a:srgbClr val="0AD7A0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bg2"/>
              </a:solidFill>
              <a:ln>
                <a:solidFill>
                  <a:srgbClr val="EF476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B3-2C47-8304-F609280EC3B6}"/>
              </c:ext>
            </c:extLst>
          </c:dPt>
          <c:cat>
            <c:strRef>
              <c:f>'Menu &amp; Pricing Analysis'!$F$38:$F$51</c:f>
              <c:strCache>
                <c:ptCount val="14"/>
                <c:pt idx="0">
                  <c:v>$5.00</c:v>
                </c:pt>
                <c:pt idx="1">
                  <c:v>$7.00</c:v>
                </c:pt>
                <c:pt idx="2">
                  <c:v>$9.00</c:v>
                </c:pt>
                <c:pt idx="3">
                  <c:v>$10.50</c:v>
                </c:pt>
                <c:pt idx="4">
                  <c:v>$11.95</c:v>
                </c:pt>
                <c:pt idx="5">
                  <c:v>$12.95</c:v>
                </c:pt>
                <c:pt idx="6">
                  <c:v>$13.95</c:v>
                </c:pt>
                <c:pt idx="7">
                  <c:v>$14.50</c:v>
                </c:pt>
                <c:pt idx="8">
                  <c:v>$14.95</c:v>
                </c:pt>
                <c:pt idx="9">
                  <c:v>$15.50</c:v>
                </c:pt>
                <c:pt idx="10">
                  <c:v>$16.50</c:v>
                </c:pt>
                <c:pt idx="11">
                  <c:v>$16.95</c:v>
                </c:pt>
                <c:pt idx="12">
                  <c:v>$17.95</c:v>
                </c:pt>
                <c:pt idx="13">
                  <c:v>$19.95</c:v>
                </c:pt>
              </c:strCache>
            </c:strRef>
          </c:cat>
          <c:val>
            <c:numRef>
              <c:f>'Menu &amp; Pricing Analysis'!$E$38:$E$51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3-2C47-8304-F609280E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4"/>
        <c:axId val="54018159"/>
        <c:axId val="54019871"/>
      </c:barChart>
      <c:catAx>
        <c:axId val="5401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9871"/>
        <c:crosses val="autoZero"/>
        <c:auto val="1"/>
        <c:lblAlgn val="ctr"/>
        <c:lblOffset val="100"/>
        <c:noMultiLvlLbl val="0"/>
      </c:catAx>
      <c:valAx>
        <c:axId val="54019871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159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Busiest and Slowest Order Times (by Hour)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'Ordering Behaviour'!$E$45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E8E6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'Ordering Behaviour'!$D$46:$D$59</c:f>
              <c:strCache>
                <c:ptCount val="14"/>
                <c:pt idx="0">
                  <c:v>10:00</c:v>
                </c:pt>
                <c:pt idx="1">
                  <c:v>11:00</c:v>
                </c:pt>
                <c:pt idx="2">
                  <c:v>12:00</c:v>
                </c:pt>
                <c:pt idx="3">
                  <c:v>13:00</c:v>
                </c:pt>
                <c:pt idx="4">
                  <c:v>14:00</c:v>
                </c:pt>
                <c:pt idx="5">
                  <c:v>15:00</c:v>
                </c:pt>
                <c:pt idx="6">
                  <c:v>16:00</c:v>
                </c:pt>
                <c:pt idx="7">
                  <c:v>17:00</c:v>
                </c:pt>
                <c:pt idx="8">
                  <c:v>18:00</c:v>
                </c:pt>
                <c:pt idx="9">
                  <c:v>19:00</c:v>
                </c:pt>
                <c:pt idx="10">
                  <c:v>20:00</c:v>
                </c:pt>
                <c:pt idx="11">
                  <c:v>21:00</c:v>
                </c:pt>
                <c:pt idx="12">
                  <c:v>22:00</c:v>
                </c:pt>
                <c:pt idx="13">
                  <c:v>23:00</c:v>
                </c:pt>
              </c:strCache>
            </c:strRef>
          </c:cat>
          <c:val>
            <c:numRef>
              <c:f>'Ordering Behaviour'!$E$46:$E$59</c:f>
              <c:numCache>
                <c:formatCode>General</c:formatCode>
                <c:ptCount val="14"/>
                <c:pt idx="0">
                  <c:v>2</c:v>
                </c:pt>
                <c:pt idx="1">
                  <c:v>288</c:v>
                </c:pt>
                <c:pt idx="2">
                  <c:v>647</c:v>
                </c:pt>
                <c:pt idx="3">
                  <c:v>595</c:v>
                </c:pt>
                <c:pt idx="4">
                  <c:v>426</c:v>
                </c:pt>
                <c:pt idx="5">
                  <c:v>357</c:v>
                </c:pt>
                <c:pt idx="6">
                  <c:v>480</c:v>
                </c:pt>
                <c:pt idx="7">
                  <c:v>623</c:v>
                </c:pt>
                <c:pt idx="8">
                  <c:v>596</c:v>
                </c:pt>
                <c:pt idx="9">
                  <c:v>498</c:v>
                </c:pt>
                <c:pt idx="10">
                  <c:v>413</c:v>
                </c:pt>
                <c:pt idx="11">
                  <c:v>289</c:v>
                </c:pt>
                <c:pt idx="12">
                  <c:v>152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7-8441-8307-FAFECDAB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62977920"/>
        <c:axId val="1236628096"/>
      </c:barChart>
      <c:lineChart>
        <c:grouping val="standard"/>
        <c:varyColors val="0"/>
        <c:ser>
          <c:idx val="0"/>
          <c:order val="1"/>
          <c:tx>
            <c:strRef>
              <c:f>'Ordering Behaviour'!$E$65</c:f>
              <c:strCache>
                <c:ptCount val="1"/>
                <c:pt idx="0">
                  <c:v>Average Number of Items per Order</c:v>
                </c:pt>
              </c:strCache>
            </c:strRef>
          </c:tx>
          <c:spPr>
            <a:ln w="9525" cap="rnd">
              <a:solidFill>
                <a:srgbClr val="0AD7A0">
                  <a:alpha val="20000"/>
                </a:srgb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0AD7A0">
                  <a:alpha val="20000"/>
                </a:srgbClr>
              </a:solidFill>
              <a:ln w="22225">
                <a:solidFill>
                  <a:srgbClr val="0AD7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'Ordering Behaviour'!$E$66:$E$79</c:f>
              <c:numCache>
                <c:formatCode>0.00</c:formatCode>
                <c:ptCount val="14"/>
                <c:pt idx="0">
                  <c:v>2.5</c:v>
                </c:pt>
                <c:pt idx="1">
                  <c:v>2.19</c:v>
                </c:pt>
                <c:pt idx="2">
                  <c:v>2.58</c:v>
                </c:pt>
                <c:pt idx="3">
                  <c:v>2.65</c:v>
                </c:pt>
                <c:pt idx="4">
                  <c:v>2.27</c:v>
                </c:pt>
                <c:pt idx="5">
                  <c:v>2.1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2.19</c:v>
                </c:pt>
                <c:pt idx="9">
                  <c:v>2.1800000000000002</c:v>
                </c:pt>
                <c:pt idx="10">
                  <c:v>2.15</c:v>
                </c:pt>
                <c:pt idx="11">
                  <c:v>2.1</c:v>
                </c:pt>
                <c:pt idx="12">
                  <c:v>2.0299999999999998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7-8441-8307-FAFECDAB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543152"/>
        <c:axId val="1185802048"/>
      </c:lineChart>
      <c:catAx>
        <c:axId val="10629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28096"/>
        <c:crosses val="autoZero"/>
        <c:auto val="1"/>
        <c:lblAlgn val="ctr"/>
        <c:lblOffset val="100"/>
        <c:noMultiLvlLbl val="0"/>
      </c:catAx>
      <c:valAx>
        <c:axId val="123662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77920"/>
        <c:crosses val="autoZero"/>
        <c:crossBetween val="between"/>
      </c:valAx>
      <c:valAx>
        <c:axId val="11858020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43152"/>
        <c:crosses val="max"/>
        <c:crossBetween val="between"/>
      </c:valAx>
      <c:catAx>
        <c:axId val="428543152"/>
        <c:scaling>
          <c:orientation val="minMax"/>
        </c:scaling>
        <c:delete val="1"/>
        <c:axPos val="b"/>
        <c:majorTickMark val="out"/>
        <c:minorTickMark val="none"/>
        <c:tickLblPos val="nextTo"/>
        <c:crossAx val="1185802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Behaviour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'Ordering Behaviour'!$E$85</c:f>
              <c:strCache>
                <c:ptCount val="1"/>
                <c:pt idx="0">
                  <c:v>num_orders</c:v>
                </c:pt>
              </c:strCache>
            </c:strRef>
          </c:tx>
          <c:spPr>
            <a:solidFill>
              <a:srgbClr val="E8E6E6"/>
            </a:solidFill>
            <a:ln>
              <a:solidFill>
                <a:srgbClr val="0AD7A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'Ordering Behaviour'!$D$99:$D$105</c:f>
              <c:numCache>
                <c:formatCode>General</c:formatCode>
                <c:ptCount val="7"/>
              </c:numCache>
            </c:numRef>
          </c:cat>
          <c:val>
            <c:numRef>
              <c:f>'Ordering Behaviour'!$E$86:$E$92</c:f>
              <c:numCache>
                <c:formatCode>General</c:formatCode>
                <c:ptCount val="7"/>
                <c:pt idx="0">
                  <c:v>885</c:v>
                </c:pt>
                <c:pt idx="1">
                  <c:v>766</c:v>
                </c:pt>
                <c:pt idx="2">
                  <c:v>682</c:v>
                </c:pt>
                <c:pt idx="3">
                  <c:v>743</c:v>
                </c:pt>
                <c:pt idx="4">
                  <c:v>787</c:v>
                </c:pt>
                <c:pt idx="5">
                  <c:v>711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8-F046-A832-AEBDA6529194}"/>
            </c:ext>
          </c:extLst>
        </c:ser>
        <c:ser>
          <c:idx val="0"/>
          <c:order val="1"/>
          <c:tx>
            <c:strRef>
              <c:f>'Ordering Behaviour'!$E$98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'Ordering Behaviour'!$D$99:$D$105</c:f>
              <c:numCache>
                <c:formatCode>General</c:formatCode>
                <c:ptCount val="7"/>
              </c:numCache>
            </c:numRef>
          </c:cat>
          <c:val>
            <c:numRef>
              <c:f>'Ordering Behaviour'!$E$99:$E$105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A138-F046-A832-AEBDA6529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92"/>
        <c:axId val="1062977920"/>
        <c:axId val="1236628096"/>
      </c:barChart>
      <c:catAx>
        <c:axId val="10629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28096"/>
        <c:crosses val="autoZero"/>
        <c:auto val="1"/>
        <c:lblAlgn val="ctr"/>
        <c:lblOffset val="100"/>
        <c:noMultiLvlLbl val="0"/>
      </c:catAx>
      <c:valAx>
        <c:axId val="1236628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297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Size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'Ordering Behaviour'!$E$18</c:f>
              <c:strCache>
                <c:ptCount val="1"/>
                <c:pt idx="0">
                  <c:v>num_orders</c:v>
                </c:pt>
              </c:strCache>
            </c:strRef>
          </c:tx>
          <c:spPr>
            <a:solidFill>
              <a:srgbClr val="0AD7A0">
                <a:alpha val="20000"/>
              </a:srgbClr>
            </a:solidFill>
            <a:ln w="15875">
              <a:solidFill>
                <a:srgbClr val="0AD7A0"/>
              </a:solidFill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03-2143-A7EB-36F5620BDB8A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03-2143-A7EB-36F5620BDB8A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03-2143-A7EB-36F5620BDB8A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03-2143-A7EB-36F5620BDB8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03-2143-A7EB-36F5620BDB8A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03-2143-A7EB-36F5620BDB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'Ordering Behaviour'!$D$20:$D$33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'Ordering Behaviour'!$E$20:$E$33</c:f>
              <c:numCache>
                <c:formatCode>General</c:formatCode>
                <c:ptCount val="14"/>
                <c:pt idx="0">
                  <c:v>2053</c:v>
                </c:pt>
                <c:pt idx="1">
                  <c:v>1559</c:v>
                </c:pt>
                <c:pt idx="2">
                  <c:v>847</c:v>
                </c:pt>
                <c:pt idx="3">
                  <c:v>702</c:v>
                </c:pt>
                <c:pt idx="4">
                  <c:v>32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17</c:v>
                </c:pt>
                <c:pt idx="9">
                  <c:v>16</c:v>
                </c:pt>
                <c:pt idx="10">
                  <c:v>14</c:v>
                </c:pt>
                <c:pt idx="11">
                  <c:v>20</c:v>
                </c:pt>
                <c:pt idx="12">
                  <c:v>13</c:v>
                </c:pt>
                <c:pt idx="13">
                  <c:v>7</c:v>
                </c:pt>
              </c:numCache>
            </c:numRef>
          </c:yVal>
          <c:bubbleSize>
            <c:numRef>
              <c:f>'Ordering Behaviour'!$E$20:$E$33</c:f>
              <c:numCache>
                <c:formatCode>General</c:formatCode>
                <c:ptCount val="14"/>
                <c:pt idx="0">
                  <c:v>2053</c:v>
                </c:pt>
                <c:pt idx="1">
                  <c:v>1559</c:v>
                </c:pt>
                <c:pt idx="2">
                  <c:v>847</c:v>
                </c:pt>
                <c:pt idx="3">
                  <c:v>702</c:v>
                </c:pt>
                <c:pt idx="4">
                  <c:v>32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17</c:v>
                </c:pt>
                <c:pt idx="9">
                  <c:v>16</c:v>
                </c:pt>
                <c:pt idx="10">
                  <c:v>14</c:v>
                </c:pt>
                <c:pt idx="11">
                  <c:v>20</c:v>
                </c:pt>
                <c:pt idx="12">
                  <c:v>13</c:v>
                </c:pt>
                <c:pt idx="13">
                  <c:v>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203-2143-A7EB-36F5620B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9280352"/>
        <c:axId val="1236892432"/>
      </c:bubbleChart>
      <c:valAx>
        <c:axId val="1399280352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>
                  <a:alpha val="2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Items in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92432"/>
        <c:crosses val="autoZero"/>
        <c:crossBetween val="midCat"/>
        <c:majorUnit val="1"/>
      </c:valAx>
      <c:valAx>
        <c:axId val="1236892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2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80352"/>
        <c:crossesAt val="-1"/>
        <c:crossBetween val="midCat"/>
      </c:valAx>
      <c:spPr>
        <a:noFill/>
        <a:ln>
          <a:solidFill>
            <a:srgbClr val="CCCCC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Price Tier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008994140883905"/>
          <c:y val="0.15496970406580218"/>
          <c:w val="0.66086416439106732"/>
          <c:h val="0.70046687937242047"/>
        </c:manualLayout>
      </c:layout>
      <c:doughnutChart>
        <c:varyColors val="1"/>
        <c:ser>
          <c:idx val="0"/>
          <c:order val="0"/>
          <c:tx>
            <c:strRef>
              <c:f>'Sales Performance'!$G$4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rgbClr val="0AD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34-E74E-8CEA-58DBE411C845}"/>
              </c:ext>
            </c:extLst>
          </c:dPt>
          <c:dPt>
            <c:idx val="1"/>
            <c:bubble3D val="0"/>
            <c:spPr>
              <a:solidFill>
                <a:srgbClr val="FFD2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34-E74E-8CEA-58DBE411C845}"/>
              </c:ext>
            </c:extLst>
          </c:dPt>
          <c:dPt>
            <c:idx val="2"/>
            <c:bubble3D val="0"/>
            <c:spPr>
              <a:solidFill>
                <a:srgbClr val="EF47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134-E74E-8CEA-58DBE411C84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134-E74E-8CEA-58DBE411C8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Performance'!$I$5:$I$7</c:f>
              <c:strCache>
                <c:ptCount val="3"/>
                <c:pt idx="0">
                  <c:v>Low-cost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'Sales Performance'!$G$5:$G$7</c:f>
              <c:numCache>
                <c:formatCode>"$"#,##0</c:formatCode>
                <c:ptCount val="3"/>
                <c:pt idx="0">
                  <c:v>19856</c:v>
                </c:pt>
                <c:pt idx="1">
                  <c:v>74290.600000000006</c:v>
                </c:pt>
                <c:pt idx="2">
                  <c:v>65071.3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34-E74E-8CEA-58DBE411C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1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CCCCCC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 Sold per Price Tier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008994140883905"/>
          <c:y val="0.15496970406580218"/>
          <c:w val="0.66086416439106732"/>
          <c:h val="0.70046687937242047"/>
        </c:manualLayout>
      </c:layout>
      <c:doughnutChart>
        <c:varyColors val="1"/>
        <c:ser>
          <c:idx val="0"/>
          <c:order val="0"/>
          <c:tx>
            <c:strRef>
              <c:f>'Sales Performance'!$E$4</c:f>
              <c:strCache>
                <c:ptCount val="1"/>
                <c:pt idx="0">
                  <c:v>item_count</c:v>
                </c:pt>
              </c:strCache>
            </c:strRef>
          </c:tx>
          <c:dPt>
            <c:idx val="0"/>
            <c:bubble3D val="0"/>
            <c:spPr>
              <a:solidFill>
                <a:srgbClr val="0AD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AF-E14B-BF78-00F99A732D3A}"/>
              </c:ext>
            </c:extLst>
          </c:dPt>
          <c:dPt>
            <c:idx val="1"/>
            <c:bubble3D val="0"/>
            <c:spPr>
              <a:solidFill>
                <a:srgbClr val="FFD2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AF-E14B-BF78-00F99A732D3A}"/>
              </c:ext>
            </c:extLst>
          </c:dPt>
          <c:dPt>
            <c:idx val="2"/>
            <c:bubble3D val="0"/>
            <c:spPr>
              <a:solidFill>
                <a:srgbClr val="EF47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AF-E14B-BF78-00F99A732D3A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7AF-E14B-BF78-00F99A732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Performance'!$I$5:$I$7</c:f>
              <c:strCache>
                <c:ptCount val="3"/>
                <c:pt idx="0">
                  <c:v>Low-cost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'Sales Performance'!$E$5:$E$7</c:f>
              <c:numCache>
                <c:formatCode>General</c:formatCode>
                <c:ptCount val="3"/>
                <c:pt idx="0">
                  <c:v>2814</c:v>
                </c:pt>
                <c:pt idx="1">
                  <c:v>5547</c:v>
                </c:pt>
                <c:pt idx="2">
                  <c:v>3736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AF-E14B-BF78-00F99A73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1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CCCCCC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Volume &amp; Revenue per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'Sales Performance'!$F$37</c:f>
              <c:strCache>
                <c:ptCount val="1"/>
                <c:pt idx="0">
                  <c:v>Number of Items Ordered</c:v>
                </c:pt>
              </c:strCache>
            </c:strRef>
          </c:tx>
          <c:spPr>
            <a:solidFill>
              <a:srgbClr val="E8E6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Performance'!$D$38:$D$41</c:f>
              <c:strCache>
                <c:ptCount val="4"/>
                <c:pt idx="0">
                  <c:v>Asian</c:v>
                </c:pt>
                <c:pt idx="1">
                  <c:v>Italian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'Sales Performance'!$F$38:$F$41</c:f>
              <c:numCache>
                <c:formatCode>General</c:formatCode>
                <c:ptCount val="4"/>
                <c:pt idx="0">
                  <c:v>3470</c:v>
                </c:pt>
                <c:pt idx="1">
                  <c:v>2948</c:v>
                </c:pt>
                <c:pt idx="2">
                  <c:v>2945</c:v>
                </c:pt>
                <c:pt idx="3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D-FC4D-8CC1-16E56168E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73"/>
        <c:axId val="1062977920"/>
        <c:axId val="1236628096"/>
      </c:barChart>
      <c:lineChart>
        <c:grouping val="standard"/>
        <c:varyColors val="0"/>
        <c:ser>
          <c:idx val="0"/>
          <c:order val="1"/>
          <c:tx>
            <c:strRef>
              <c:f>'Sales Performance'!$G$37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circle"/>
            <c:size val="35"/>
            <c:spPr>
              <a:solidFill>
                <a:srgbClr val="0AD7A0">
                  <a:alpha val="20000"/>
                </a:srgbClr>
              </a:solidFill>
              <a:ln w="22225">
                <a:solidFill>
                  <a:srgbClr val="0AD7A0"/>
                </a:solidFill>
              </a:ln>
              <a:effectLst/>
            </c:spPr>
          </c:marker>
          <c:dLbls>
            <c:numFmt formatCode="&quot;$&quot;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Performance'!$D$38:$D$41</c:f>
              <c:strCache>
                <c:ptCount val="4"/>
                <c:pt idx="0">
                  <c:v>Asian</c:v>
                </c:pt>
                <c:pt idx="1">
                  <c:v>Italian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'Sales Performance'!$G$38:$G$41</c:f>
              <c:numCache>
                <c:formatCode>"$"#,##0</c:formatCode>
                <c:ptCount val="4"/>
                <c:pt idx="0">
                  <c:v>46720.65</c:v>
                </c:pt>
                <c:pt idx="1">
                  <c:v>49462.7</c:v>
                </c:pt>
                <c:pt idx="2">
                  <c:v>34796.800000000003</c:v>
                </c:pt>
                <c:pt idx="3">
                  <c:v>28237.75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CD-FC4D-8CC1-16E56168E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543152"/>
        <c:axId val="1185802048"/>
      </c:lineChart>
      <c:catAx>
        <c:axId val="10629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28096"/>
        <c:crosses val="autoZero"/>
        <c:auto val="1"/>
        <c:lblAlgn val="ctr"/>
        <c:lblOffset val="100"/>
        <c:noMultiLvlLbl val="0"/>
      </c:catAx>
      <c:valAx>
        <c:axId val="123662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77920"/>
        <c:crosses val="autoZero"/>
        <c:crossBetween val="between"/>
      </c:valAx>
      <c:valAx>
        <c:axId val="1185802048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43152"/>
        <c:crosses val="max"/>
        <c:crossBetween val="between"/>
      </c:valAx>
      <c:catAx>
        <c:axId val="42854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5802048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CCCCCC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Items</a:t>
            </a:r>
            <a:r>
              <a:rPr lang="en-US" baseline="0"/>
              <a:t> by % of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E8E6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9525" cap="rnd">
            <a:noFill/>
            <a:round/>
          </a:ln>
          <a:effectLst/>
        </c:spPr>
        <c:marker>
          <c:symbol val="circle"/>
          <c:size val="25"/>
          <c:spPr>
            <a:solidFill>
              <a:srgbClr val="0AD7A0">
                <a:alpha val="20000"/>
              </a:srgbClr>
            </a:solidFill>
            <a:ln w="22225">
              <a:solidFill>
                <a:srgbClr val="0AD7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8E6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9525" cap="rnd">
            <a:noFill/>
            <a:round/>
          </a:ln>
          <a:effectLst/>
        </c:spPr>
        <c:marker>
          <c:symbol val="circle"/>
          <c:size val="25"/>
          <c:spPr>
            <a:solidFill>
              <a:srgbClr val="0AD7A0">
                <a:alpha val="20000"/>
              </a:srgbClr>
            </a:solidFill>
            <a:ln w="22225">
              <a:solidFill>
                <a:srgbClr val="0AD7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8E6E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9525" cap="rnd">
            <a:noFill/>
            <a:round/>
          </a:ln>
          <a:effectLst/>
        </c:spPr>
        <c:marker>
          <c:symbol val="circle"/>
          <c:size val="35"/>
          <c:spPr>
            <a:solidFill>
              <a:srgbClr val="0AD7A0">
                <a:alpha val="20000"/>
              </a:srgbClr>
            </a:solidFill>
            <a:ln w="22225">
              <a:solidFill>
                <a:srgbClr val="0AD7A0"/>
              </a:solidFill>
            </a:ln>
            <a:effectLst/>
          </c:spPr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'Sales Performance'!$E$133</c:f>
              <c:strCache>
                <c:ptCount val="1"/>
                <c:pt idx="0">
                  <c:v>% Revenue</c:v>
                </c:pt>
              </c:strCache>
            </c:strRef>
          </c:tx>
          <c:spPr>
            <a:solidFill>
              <a:srgbClr val="E8E6E6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Korean Beef Bowl</c:v>
              </c:pt>
              <c:pt idx="1">
                <c:v>Spaghetti &amp; Meatballs</c:v>
              </c:pt>
              <c:pt idx="2">
                <c:v>Tofu Pad Thai</c:v>
              </c:pt>
              <c:pt idx="3">
                <c:v>Cheeseburger</c:v>
              </c:pt>
              <c:pt idx="4">
                <c:v>Hamburger</c:v>
              </c:pt>
            </c:strLit>
          </c:cat>
          <c:val>
            <c:numLit>
              <c:formatCode>General</c:formatCode>
              <c:ptCount val="5"/>
              <c:pt idx="0">
                <c:v>6.6290285200344939E-2</c:v>
              </c:pt>
              <c:pt idx="1">
                <c:v>5.2987132728166873E-2</c:v>
              </c:pt>
              <c:pt idx="2">
                <c:v>5.1181431233548492E-2</c:v>
              </c:pt>
              <c:pt idx="3">
                <c:v>5.1079997914807322E-2</c:v>
              </c:pt>
              <c:pt idx="4">
                <c:v>5.0590417283483832E-2</c:v>
              </c:pt>
            </c:numLit>
          </c:val>
          <c:extLst>
            <c:ext xmlns:c16="http://schemas.microsoft.com/office/drawing/2014/chart" uri="{C3380CC4-5D6E-409C-BE32-E72D297353CC}">
              <c16:uniqueId val="{00000000-6FF4-884D-94A2-8E4639F0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62977920"/>
        <c:axId val="1236628096"/>
      </c:barChart>
      <c:lineChart>
        <c:grouping val="standard"/>
        <c:varyColors val="0"/>
        <c:ser>
          <c:idx val="0"/>
          <c:order val="1"/>
          <c:tx>
            <c:strRef>
              <c:f>'Sales Performance'!$F$133</c:f>
              <c:strCache>
                <c:ptCount val="1"/>
                <c:pt idx="0">
                  <c:v>Price per Item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circle"/>
            <c:size val="35"/>
            <c:spPr>
              <a:solidFill>
                <a:srgbClr val="0AD7A0">
                  <a:alpha val="20000"/>
                </a:srgbClr>
              </a:solidFill>
              <a:ln w="22225">
                <a:solidFill>
                  <a:srgbClr val="0AD7A0"/>
                </a:solidFill>
              </a:ln>
              <a:effectLst/>
            </c:spPr>
          </c:marker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Korean Beef Bowl</c:v>
              </c:pt>
              <c:pt idx="1">
                <c:v>Spaghetti &amp; Meatballs</c:v>
              </c:pt>
              <c:pt idx="2">
                <c:v>Tofu Pad Thai</c:v>
              </c:pt>
              <c:pt idx="3">
                <c:v>Cheeseburger</c:v>
              </c:pt>
              <c:pt idx="4">
                <c:v>Hamburger</c:v>
              </c:pt>
            </c:strLit>
          </c:cat>
          <c:val>
            <c:numLit>
              <c:formatCode>General</c:formatCode>
              <c:ptCount val="5"/>
              <c:pt idx="0">
                <c:v>17.95</c:v>
              </c:pt>
              <c:pt idx="1">
                <c:v>17.95</c:v>
              </c:pt>
              <c:pt idx="2">
                <c:v>14.5</c:v>
              </c:pt>
              <c:pt idx="3">
                <c:v>13.95</c:v>
              </c:pt>
              <c:pt idx="4">
                <c:v>12.95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FF4-884D-94A2-8E4639F0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543152"/>
        <c:axId val="1185802048"/>
      </c:lineChart>
      <c:catAx>
        <c:axId val="10629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28096"/>
        <c:crosses val="autoZero"/>
        <c:auto val="1"/>
        <c:lblAlgn val="ctr"/>
        <c:lblOffset val="100"/>
        <c:noMultiLvlLbl val="0"/>
      </c:catAx>
      <c:valAx>
        <c:axId val="123662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77920"/>
        <c:crosses val="autoZero"/>
        <c:crossBetween val="between"/>
      </c:valAx>
      <c:valAx>
        <c:axId val="1185802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43152"/>
        <c:crosses val="max"/>
        <c:crossBetween val="between"/>
      </c:valAx>
      <c:catAx>
        <c:axId val="42854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5802048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CCCCCC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Revenue by Time Period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Performance'!$G$13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E6E6"/>
            </a:solidFill>
            <a:ln w="9525">
              <a:solidFill>
                <a:srgbClr val="CCCCC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Performance'!$D$14:$D$18</c:f>
              <c:strCache>
                <c:ptCount val="5"/>
                <c:pt idx="0">
                  <c:v>Late Dinner</c:v>
                </c:pt>
                <c:pt idx="1">
                  <c:v>Dinner</c:v>
                </c:pt>
                <c:pt idx="2">
                  <c:v>Afternoon</c:v>
                </c:pt>
                <c:pt idx="3">
                  <c:v>Lunch</c:v>
                </c:pt>
                <c:pt idx="4">
                  <c:v>Brunch</c:v>
                </c:pt>
              </c:strCache>
            </c:strRef>
          </c:cat>
          <c:val>
            <c:numRef>
              <c:f>'Sales Performance'!$G$14:$G$18</c:f>
              <c:numCache>
                <c:formatCode>"$"#,##0</c:formatCode>
                <c:ptCount val="5"/>
                <c:pt idx="0">
                  <c:v>11959.95</c:v>
                </c:pt>
                <c:pt idx="1">
                  <c:v>42712.7</c:v>
                </c:pt>
                <c:pt idx="2">
                  <c:v>41385.050000000003</c:v>
                </c:pt>
                <c:pt idx="3">
                  <c:v>54974.35</c:v>
                </c:pt>
                <c:pt idx="4">
                  <c:v>8185.85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163-9A47-8899-0A7BD0A42550}"/>
            </c:ext>
          </c:extLst>
        </c:ser>
        <c:ser>
          <c:idx val="1"/>
          <c:order val="1"/>
          <c:tx>
            <c:strRef>
              <c:f>'Sales Performance'!$I$13</c:f>
              <c:strCache>
                <c:ptCount val="1"/>
                <c:pt idx="0">
                  <c:v>% Revenue</c:v>
                </c:pt>
              </c:strCache>
            </c:strRef>
          </c:tx>
          <c:spPr>
            <a:noFill/>
            <a:ln w="12700" cap="sq">
              <a:solidFill>
                <a:srgbClr val="04D8A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Performance'!$D$14:$D$18</c:f>
              <c:strCache>
                <c:ptCount val="5"/>
                <c:pt idx="0">
                  <c:v>Late Dinner</c:v>
                </c:pt>
                <c:pt idx="1">
                  <c:v>Dinner</c:v>
                </c:pt>
                <c:pt idx="2">
                  <c:v>Afternoon</c:v>
                </c:pt>
                <c:pt idx="3">
                  <c:v>Lunch</c:v>
                </c:pt>
                <c:pt idx="4">
                  <c:v>Brunch</c:v>
                </c:pt>
              </c:strCache>
            </c:strRef>
          </c:cat>
          <c:val>
            <c:numRef>
              <c:f>'Sales Performance'!$I$14:$I$18</c:f>
              <c:numCache>
                <c:formatCode>0%</c:formatCode>
                <c:ptCount val="5"/>
                <c:pt idx="0">
                  <c:v>7.5116868141082135E-2</c:v>
                </c:pt>
                <c:pt idx="1">
                  <c:v>0.26826569123195321</c:v>
                </c:pt>
                <c:pt idx="2">
                  <c:v>0.25992711874732682</c:v>
                </c:pt>
                <c:pt idx="3">
                  <c:v>0.34527744681973571</c:v>
                </c:pt>
                <c:pt idx="4">
                  <c:v>5.1412875059902191E-2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63-9A47-8899-0A7BD0A4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overlap val="100"/>
        <c:axId val="797043199"/>
        <c:axId val="797044991"/>
      </c:barChart>
      <c:catAx>
        <c:axId val="79704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44991"/>
        <c:crosses val="autoZero"/>
        <c:auto val="1"/>
        <c:lblAlgn val="ctr"/>
        <c:lblOffset val="100"/>
        <c:noMultiLvlLbl val="0"/>
      </c:catAx>
      <c:valAx>
        <c:axId val="79704499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797043199"/>
        <c:crosses val="autoZero"/>
        <c:crossBetween val="between"/>
      </c:valAx>
      <c:spPr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rgbClr val="CCCCCC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Revenue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Performance'!$G$13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E6E6"/>
            </a:solidFill>
            <a:ln w="9525">
              <a:solidFill>
                <a:srgbClr val="CCCCC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Performance'!$D$25:$D$31</c:f>
              <c:strCache>
                <c:ptCount val="7"/>
                <c:pt idx="0">
                  <c:v>Sunday</c:v>
                </c:pt>
                <c:pt idx="1">
                  <c:v>Saturday</c:v>
                </c:pt>
                <c:pt idx="2">
                  <c:v>Friday</c:v>
                </c:pt>
                <c:pt idx="3">
                  <c:v>Thursday</c:v>
                </c:pt>
                <c:pt idx="4">
                  <c:v>Wednesday</c:v>
                </c:pt>
                <c:pt idx="5">
                  <c:v>Tuesday</c:v>
                </c:pt>
                <c:pt idx="6">
                  <c:v>Monday</c:v>
                </c:pt>
              </c:strCache>
            </c:strRef>
          </c:cat>
          <c:val>
            <c:numRef>
              <c:f>'Sales Performance'!$G$25:$G$31</c:f>
              <c:numCache>
                <c:formatCode>"$"#,##0</c:formatCode>
                <c:ptCount val="7"/>
                <c:pt idx="0">
                  <c:v>23226.45</c:v>
                </c:pt>
                <c:pt idx="1">
                  <c:v>21170.9</c:v>
                </c:pt>
                <c:pt idx="2">
                  <c:v>23707.95</c:v>
                </c:pt>
                <c:pt idx="3">
                  <c:v>21846.85</c:v>
                </c:pt>
                <c:pt idx="4">
                  <c:v>19902.3</c:v>
                </c:pt>
                <c:pt idx="5">
                  <c:v>23356</c:v>
                </c:pt>
                <c:pt idx="6">
                  <c:v>26007.45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3-AC49-889C-706032A99E7E}"/>
            </c:ext>
          </c:extLst>
        </c:ser>
        <c:ser>
          <c:idx val="1"/>
          <c:order val="1"/>
          <c:tx>
            <c:strRef>
              <c:f>'Sales Performance'!$I$24</c:f>
              <c:strCache>
                <c:ptCount val="1"/>
                <c:pt idx="0">
                  <c:v>% Revenue</c:v>
                </c:pt>
              </c:strCache>
            </c:strRef>
          </c:tx>
          <c:spPr>
            <a:noFill/>
            <a:ln w="12700" cap="sq">
              <a:solidFill>
                <a:srgbClr val="04D8A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Performance'!$D$25:$D$31</c:f>
              <c:strCache>
                <c:ptCount val="7"/>
                <c:pt idx="0">
                  <c:v>Sunday</c:v>
                </c:pt>
                <c:pt idx="1">
                  <c:v>Saturday</c:v>
                </c:pt>
                <c:pt idx="2">
                  <c:v>Friday</c:v>
                </c:pt>
                <c:pt idx="3">
                  <c:v>Thursday</c:v>
                </c:pt>
                <c:pt idx="4">
                  <c:v>Wednesday</c:v>
                </c:pt>
                <c:pt idx="5">
                  <c:v>Tuesday</c:v>
                </c:pt>
                <c:pt idx="6">
                  <c:v>Monday</c:v>
                </c:pt>
              </c:strCache>
            </c:strRef>
          </c:cat>
          <c:val>
            <c:numRef>
              <c:f>'Sales Performance'!$I$25:$I$31</c:f>
              <c:numCache>
                <c:formatCode>0%</c:formatCode>
                <c:ptCount val="7"/>
                <c:pt idx="0">
                  <c:v>0.1458783842771447</c:v>
                </c:pt>
                <c:pt idx="1">
                  <c:v>0.1329680896431871</c:v>
                </c:pt>
                <c:pt idx="2">
                  <c:v>0.14890254173682732</c:v>
                </c:pt>
                <c:pt idx="3">
                  <c:v>0.1372135293833168</c:v>
                </c:pt>
                <c:pt idx="4">
                  <c:v>0.12500039254380316</c:v>
                </c:pt>
                <c:pt idx="5">
                  <c:v>0.14669204907237188</c:v>
                </c:pt>
                <c:pt idx="6">
                  <c:v>0.16334501334334894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3-AC49-889C-706032A9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overlap val="100"/>
        <c:axId val="797043199"/>
        <c:axId val="797044991"/>
      </c:barChart>
      <c:catAx>
        <c:axId val="79704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44991"/>
        <c:crosses val="autoZero"/>
        <c:auto val="1"/>
        <c:lblAlgn val="ctr"/>
        <c:lblOffset val="100"/>
        <c:noMultiLvlLbl val="0"/>
      </c:catAx>
      <c:valAx>
        <c:axId val="79704499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79704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CCCCC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13053</xdr:colOff>
      <xdr:row>14</xdr:row>
      <xdr:rowOff>195086</xdr:rowOff>
    </xdr:from>
    <xdr:to>
      <xdr:col>21</xdr:col>
      <xdr:colOff>714375</xdr:colOff>
      <xdr:row>30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38B5EA-3617-F148-AE25-FE8CD438D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28575</xdr:colOff>
      <xdr:row>61</xdr:row>
      <xdr:rowOff>9525</xdr:rowOff>
    </xdr:from>
    <xdr:to>
      <xdr:col>17</xdr:col>
      <xdr:colOff>760349</xdr:colOff>
      <xdr:row>76</xdr:row>
      <xdr:rowOff>3175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41982D-1E3C-1009-FEE1-94970BAAC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803275</xdr:colOff>
      <xdr:row>14</xdr:row>
      <xdr:rowOff>196849</xdr:rowOff>
    </xdr:from>
    <xdr:to>
      <xdr:col>26</xdr:col>
      <xdr:colOff>296799</xdr:colOff>
      <xdr:row>30</xdr:row>
      <xdr:rowOff>128798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99B5CF-5EC5-CA41-822D-A106451DC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34925</xdr:colOff>
      <xdr:row>61</xdr:row>
      <xdr:rowOff>15875</xdr:rowOff>
    </xdr:from>
    <xdr:to>
      <xdr:col>25</xdr:col>
      <xdr:colOff>174625</xdr:colOff>
      <xdr:row>75</xdr:row>
      <xdr:rowOff>206375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3168E3-AE55-32DE-70D2-8E5209A0C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37</xdr:row>
      <xdr:rowOff>107950</xdr:rowOff>
    </xdr:from>
    <xdr:to>
      <xdr:col>22</xdr:col>
      <xdr:colOff>812800</xdr:colOff>
      <xdr:row>50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7C04B9-AEEA-0C72-6A9B-7A4AD5972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53</xdr:row>
      <xdr:rowOff>25400</xdr:rowOff>
    </xdr:from>
    <xdr:to>
      <xdr:col>13</xdr:col>
      <xdr:colOff>50800</xdr:colOff>
      <xdr:row>67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87A281-461E-B4AD-D35C-55B5C63E5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81</xdr:row>
      <xdr:rowOff>215900</xdr:rowOff>
    </xdr:from>
    <xdr:to>
      <xdr:col>13</xdr:col>
      <xdr:colOff>63500</xdr:colOff>
      <xdr:row>92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9472C7-EF63-FF4F-8C75-2827D108F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12700</xdr:colOff>
      <xdr:row>18</xdr:row>
      <xdr:rowOff>25400</xdr:rowOff>
    </xdr:from>
    <xdr:to>
      <xdr:col>12</xdr:col>
      <xdr:colOff>812800</xdr:colOff>
      <xdr:row>33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6DAB94-3FE8-E019-4001-1C383396D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310445</xdr:colOff>
      <xdr:row>0</xdr:row>
      <xdr:rowOff>112890</xdr:rowOff>
    </xdr:from>
    <xdr:to>
      <xdr:col>16</xdr:col>
      <xdr:colOff>333135</xdr:colOff>
      <xdr:row>16</xdr:row>
      <xdr:rowOff>188384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E1D2A-5B83-C546-BBFC-6C82C340C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70556</xdr:colOff>
      <xdr:row>0</xdr:row>
      <xdr:rowOff>112890</xdr:rowOff>
    </xdr:from>
    <xdr:to>
      <xdr:col>12</xdr:col>
      <xdr:colOff>703797</xdr:colOff>
      <xdr:row>16</xdr:row>
      <xdr:rowOff>188384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D50D43-7F77-684E-AF7F-604BFE2B7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83038</xdr:colOff>
      <xdr:row>33</xdr:row>
      <xdr:rowOff>50800</xdr:rowOff>
    </xdr:from>
    <xdr:to>
      <xdr:col>14</xdr:col>
      <xdr:colOff>625230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2A1B1-5023-AB08-06FB-721B81841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12700</xdr:colOff>
      <xdr:row>129</xdr:row>
      <xdr:rowOff>6350</xdr:rowOff>
    </xdr:from>
    <xdr:to>
      <xdr:col>16</xdr:col>
      <xdr:colOff>304800</xdr:colOff>
      <xdr:row>142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010C2D-6A0A-4144-B7EB-3C0C687D7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96404</xdr:colOff>
      <xdr:row>17</xdr:row>
      <xdr:rowOff>174335</xdr:rowOff>
    </xdr:from>
    <xdr:to>
      <xdr:col>14</xdr:col>
      <xdr:colOff>153769</xdr:colOff>
      <xdr:row>32</xdr:row>
      <xdr:rowOff>101808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A26F8C-F023-63AB-720D-2C31C153D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263769</xdr:colOff>
      <xdr:row>17</xdr:row>
      <xdr:rowOff>166077</xdr:rowOff>
    </xdr:from>
    <xdr:to>
      <xdr:col>18</xdr:col>
      <xdr:colOff>666105</xdr:colOff>
      <xdr:row>32</xdr:row>
      <xdr:rowOff>97497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E63DA7-D29B-0246-93C2-7B5FA8BCB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rina/Desktop/DA/Projects/Restaurant%20Order%20Analysis%20in%20SQL/Output%20tables%20&amp;%20analysis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rina Micov" refreshedDate="45858.884819560182" createdVersion="8" refreshedVersion="8" minRefreshableVersion="3" recordCount="9" xr:uid="{EF40F086-AB85-2644-B0EC-95BCE47F1AE6}">
  <cacheSource type="worksheet">
    <worksheetSource ref="D66:G75" sheet="Menu &amp; Pricing Analysis"/>
  </cacheSource>
  <cacheFields count="4">
    <cacheField name="category" numFmtId="0">
      <sharedItems count="4">
        <s v="American"/>
        <s v="Asian"/>
        <s v="Italian"/>
        <s v="Mexican"/>
      </sharedItems>
    </cacheField>
    <cacheField name="price_tier" numFmtId="0">
      <sharedItems/>
    </cacheField>
    <cacheField name="item_count" numFmtId="0">
      <sharedItems containsSemiMixedTypes="0" containsString="0" containsNumber="1" containsInteger="1" minValue="2" maxValue="7"/>
    </cacheField>
    <cacheField name="short labels" numFmtId="0">
      <sharedItems count="3">
        <s v="Low-cost"/>
        <s v="Mid-range"/>
        <s v="Premium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rina Micov" refreshedDate="45859.444478935184" createdVersion="8" refreshedVersion="8" minRefreshableVersion="3" recordCount="15" xr:uid="{95346F1D-23B4-3644-A4F2-7F1C23EB2561}">
  <cacheSource type="worksheet">
    <worksheetSource ref="D47:F62" sheet="Sales Performance"/>
  </cacheSource>
  <cacheFields count="3">
    <cacheField name="price_tier" numFmtId="0">
      <sharedItems count="3">
        <s v="Low-cost (&lt;$10)"/>
        <s v="Mid-range ($10-$15)"/>
        <s v="Premium ($16+)"/>
      </sharedItems>
    </cacheField>
    <cacheField name="time_bucket" numFmtId="0">
      <sharedItems count="5">
        <s v="Brunch"/>
        <s v="Lunch"/>
        <s v="Afternoon"/>
        <s v="Dinner"/>
        <s v="Late Dinner"/>
      </sharedItems>
    </cacheField>
    <cacheField name="items_sold" numFmtId="0">
      <sharedItems containsSemiMixedTypes="0" containsString="0" containsNumber="1" containsInteger="1" minValue="152" maxValue="194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rina Micov" refreshedDate="45859.45513101852" createdVersion="8" refreshedVersion="8" minRefreshableVersion="3" recordCount="21" xr:uid="{1BC77158-0CA1-2540-A4DC-960C146E8C52}">
  <cacheSource type="worksheet">
    <worksheetSource ref="D68:F89" sheet="Sales Performance"/>
  </cacheSource>
  <cacheFields count="3">
    <cacheField name="price_tier" numFmtId="0">
      <sharedItems count="3">
        <s v="Low-cost (&lt;$10)"/>
        <s v="Mid-range ($10-$15)"/>
        <s v="Premium ($16+)"/>
      </sharedItems>
    </cacheField>
    <cacheField name="day_of_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items_sold" numFmtId="0">
      <sharedItems containsSemiMixedTypes="0" containsString="0" containsNumber="1" containsInteger="1" minValue="353" maxValue="88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rina Micov" refreshedDate="45921.709593749998" createdVersion="8" refreshedVersion="8" minRefreshableVersion="3" recordCount="32" xr:uid="{CA3684CC-CD28-764B-ADF0-275FF4009FA6}">
  <cacheSource type="worksheet">
    <worksheetSource ref="D4:I36" sheet="Item-Level Performance" r:id="rId1"/>
  </cacheSource>
  <cacheFields count="6">
    <cacheField name="item_name" numFmtId="0">
      <sharedItems count="32">
        <s v="Hamburger"/>
        <s v="Edamame"/>
        <s v="Korean Beef Bowl"/>
        <s v="Cheeseburger"/>
        <s v="French Fries"/>
        <s v="Tofu Pad Thai"/>
        <s v="Steak Torta"/>
        <s v="Spaghetti &amp; Meatballs"/>
        <s v="Mac &amp; Cheese"/>
        <s v="Chips &amp; Salsa"/>
        <s v="Orange Chicken"/>
        <s v="Chicken Burrito"/>
        <s v="Eggplant Parmesan"/>
        <s v="Chicken Torta"/>
        <s v="Spaghetti"/>
        <s v="Chicken Parmesan"/>
        <s v="Pork Ramen"/>
        <s v="Mushroom Ravioli"/>
        <s v="California Roll"/>
        <s v="Steak Burrito"/>
        <s v="Salmon Roll"/>
        <s v="Meat Lasagna"/>
        <s v="Hot Dog"/>
        <s v="Fettuccine Alfredo"/>
        <s v="Shrimp Scampi"/>
        <s v="Veggie Burger"/>
        <s v="Chips &amp; Guacamole"/>
        <s v="Cheese Quesadillas"/>
        <s v="Steak Tacos"/>
        <s v="Cheese Lasagna"/>
        <s v="Potstickers"/>
        <s v="Chicken Tacos"/>
      </sharedItems>
    </cacheField>
    <cacheField name="category" numFmtId="0">
      <sharedItems/>
    </cacheField>
    <cacheField name="price" numFmtId="0">
      <sharedItems containsSemiMixedTypes="0" containsString="0" containsNumber="1" minValue="5" maxValue="19.95"/>
    </cacheField>
    <cacheField name="times_ordered" numFmtId="0">
      <sharedItems containsSemiMixedTypes="0" containsString="0" containsNumber="1" containsInteger="1" minValue="123" maxValue="622"/>
    </cacheField>
    <cacheField name="total_revenue" numFmtId="164">
      <sharedItems containsSemiMixedTypes="0" containsString="0" containsNumber="1" minValue="1469.85" maxValue="10554.6"/>
    </cacheField>
    <cacheField name="% total_revenue" numFmtId="9">
      <sharedItems containsSemiMixedTypes="0" containsString="0" containsNumber="1" minValue="9.231688145616793E-3" maxValue="6.6290285200344939E-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F7E39-B28D-DA46-9287-69D46C91177C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19">
  <location ref="I67:L72" firstHeaderRow="1" firstDataRow="2" firstDataCol="1"/>
  <pivotFields count="4"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Sum of item_count" fld="2" baseField="0" baseItem="0"/>
  </dataFields>
  <formats count="5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0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99B10-2A5D-E04D-9CFB-6F2DC5C9CC17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D133:F139" firstHeaderRow="0" firstDataRow="1" firstDataCol="1"/>
  <pivotFields count="6">
    <pivotField axis="axisRow" showAll="0" measureFilter="1" sortType="descending">
      <items count="33">
        <item x="25"/>
        <item x="5"/>
        <item x="6"/>
        <item x="28"/>
        <item x="19"/>
        <item x="7"/>
        <item x="14"/>
        <item x="24"/>
        <item x="20"/>
        <item x="30"/>
        <item x="16"/>
        <item x="10"/>
        <item x="17"/>
        <item x="21"/>
        <item x="8"/>
        <item x="2"/>
        <item x="22"/>
        <item x="0"/>
        <item x="4"/>
        <item x="23"/>
        <item x="12"/>
        <item x="1"/>
        <item x="9"/>
        <item x="26"/>
        <item x="13"/>
        <item x="31"/>
        <item x="15"/>
        <item x="11"/>
        <item x="3"/>
        <item x="27"/>
        <item x="29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64" showAll="0"/>
    <pivotField dataField="1" numFmtId="9" showAll="0"/>
  </pivotFields>
  <rowFields count="1">
    <field x="0"/>
  </rowFields>
  <rowItems count="6">
    <i>
      <x v="15"/>
    </i>
    <i>
      <x v="5"/>
    </i>
    <i>
      <x v="1"/>
    </i>
    <i>
      <x v="28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% Revenue" fld="5" baseField="0" baseItem="0" numFmtId="9"/>
    <dataField name="Price per Item" fld="2" baseField="0" baseItem="0" numFmtId="164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2" iMeasureFld="0">
      <autoFilter ref="A1">
        <filterColumn colId="0">
          <customFilters>
            <customFilter operator="greaterThanOrEqual" val="0.0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F24D3-ED4E-1944-A101-0B36311D2CCB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69:O7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items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DA245-72F9-F243-9FE3-0AE6EEA73A38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49:O56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items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281D-8CE6-7440-994B-D3CA3C6E9124}">
  <sheetPr codeName="Sheet4"/>
  <dimension ref="A1:V113"/>
  <sheetViews>
    <sheetView showGridLines="0" zoomScaleNormal="100" workbookViewId="0">
      <selection activeCell="AB48" sqref="AB48"/>
    </sheetView>
  </sheetViews>
  <sheetFormatPr baseColWidth="10" defaultRowHeight="17"/>
  <cols>
    <col min="1" max="1" width="5.1640625" style="28" bestFit="1" customWidth="1"/>
    <col min="2" max="2" width="15.5" style="28" customWidth="1"/>
    <col min="3" max="3" width="10.83203125" customWidth="1"/>
    <col min="4" max="4" width="22.33203125" customWidth="1"/>
    <col min="5" max="5" width="17.6640625" customWidth="1"/>
    <col min="6" max="6" width="18.83203125" customWidth="1"/>
    <col min="7" max="7" width="13" bestFit="1" customWidth="1"/>
    <col min="8" max="8" width="12" bestFit="1" customWidth="1"/>
    <col min="9" max="9" width="17.33203125" bestFit="1" customWidth="1"/>
    <col min="10" max="10" width="16.5" bestFit="1" customWidth="1"/>
    <col min="11" max="11" width="10.33203125" bestFit="1" customWidth="1"/>
    <col min="12" max="12" width="9.1640625" bestFit="1" customWidth="1"/>
    <col min="13" max="13" width="10.83203125" bestFit="1" customWidth="1"/>
    <col min="14" max="14" width="8.6640625" bestFit="1" customWidth="1"/>
    <col min="15" max="15" width="10.83203125" bestFit="1" customWidth="1"/>
    <col min="16" max="16" width="9.6640625" bestFit="1" customWidth="1"/>
    <col min="17" max="17" width="8.6640625" bestFit="1" customWidth="1"/>
    <col min="20" max="20" width="12.83203125" bestFit="1" customWidth="1"/>
  </cols>
  <sheetData>
    <row r="1" spans="1:22" ht="18" thickBot="1"/>
    <row r="2" spans="1:22" ht="18" thickBot="1">
      <c r="A2" s="27">
        <v>1.1000000000000001</v>
      </c>
      <c r="B2" s="30" t="s">
        <v>89</v>
      </c>
      <c r="D2" s="12" t="s">
        <v>90</v>
      </c>
      <c r="E2" s="15"/>
    </row>
    <row r="4" spans="1:22">
      <c r="D4" s="8" t="s">
        <v>137</v>
      </c>
      <c r="E4" s="6">
        <v>32</v>
      </c>
    </row>
    <row r="7" spans="1:22" ht="18" thickBot="1"/>
    <row r="8" spans="1:22" ht="18" thickBot="1">
      <c r="A8" s="28">
        <v>1.2</v>
      </c>
      <c r="B8" s="30" t="s">
        <v>89</v>
      </c>
      <c r="D8" s="12" t="s">
        <v>26</v>
      </c>
      <c r="E8" s="15"/>
      <c r="F8" s="18"/>
      <c r="V8" s="27"/>
    </row>
    <row r="9" spans="1:22">
      <c r="V9" s="27"/>
    </row>
    <row r="10" spans="1:22">
      <c r="D10" s="10" t="s">
        <v>19</v>
      </c>
      <c r="E10" s="8" t="s">
        <v>20</v>
      </c>
      <c r="F10" s="8" t="s">
        <v>21</v>
      </c>
    </row>
    <row r="11" spans="1:22">
      <c r="D11" s="9" t="s">
        <v>22</v>
      </c>
      <c r="E11" s="6" t="s">
        <v>23</v>
      </c>
      <c r="F11" s="6">
        <v>5</v>
      </c>
    </row>
    <row r="12" spans="1:22">
      <c r="D12" s="9" t="s">
        <v>24</v>
      </c>
      <c r="E12" s="6" t="s">
        <v>25</v>
      </c>
      <c r="F12" s="6">
        <v>19.95</v>
      </c>
    </row>
    <row r="15" spans="1:22" ht="18" thickBot="1"/>
    <row r="16" spans="1:22" ht="18" thickBot="1">
      <c r="A16" s="28">
        <v>1.3</v>
      </c>
      <c r="B16" s="29" t="s">
        <v>88</v>
      </c>
      <c r="D16" s="12" t="s">
        <v>86</v>
      </c>
      <c r="E16" s="12"/>
      <c r="F16" s="12"/>
      <c r="G16" s="12"/>
      <c r="H16" s="12"/>
      <c r="I16" s="12"/>
      <c r="J16" s="12"/>
      <c r="K16" s="23"/>
      <c r="L16" s="23"/>
    </row>
    <row r="18" spans="1:12">
      <c r="D18" s="20" t="s">
        <v>20</v>
      </c>
      <c r="E18" s="21" t="s">
        <v>79</v>
      </c>
      <c r="F18" s="21" t="s">
        <v>80</v>
      </c>
      <c r="G18" s="21" t="s">
        <v>81</v>
      </c>
      <c r="H18" s="21" t="s">
        <v>82</v>
      </c>
      <c r="I18" s="21" t="s">
        <v>83</v>
      </c>
      <c r="J18" s="52" t="s">
        <v>96</v>
      </c>
      <c r="K18" s="52" t="s">
        <v>107</v>
      </c>
      <c r="L18" s="52" t="s">
        <v>108</v>
      </c>
    </row>
    <row r="19" spans="1:12">
      <c r="D19" s="5" t="s">
        <v>25</v>
      </c>
      <c r="E19" s="6">
        <v>9</v>
      </c>
      <c r="F19" s="64">
        <v>16.75</v>
      </c>
      <c r="G19" s="64">
        <v>14.5</v>
      </c>
      <c r="H19" s="64">
        <v>19.95</v>
      </c>
      <c r="I19" s="40">
        <v>1.76</v>
      </c>
      <c r="J19" s="53">
        <v>1</v>
      </c>
      <c r="K19" s="55">
        <f>H19-G19</f>
        <v>5.4499999999999993</v>
      </c>
      <c r="L19" s="50">
        <v>0</v>
      </c>
    </row>
    <row r="20" spans="1:12">
      <c r="D20" s="5" t="s">
        <v>23</v>
      </c>
      <c r="E20" s="6">
        <v>8</v>
      </c>
      <c r="F20" s="64">
        <v>13.48</v>
      </c>
      <c r="G20" s="64">
        <v>5</v>
      </c>
      <c r="H20" s="64">
        <v>17.95</v>
      </c>
      <c r="I20" s="40">
        <v>4.28</v>
      </c>
      <c r="J20" s="53">
        <v>2</v>
      </c>
      <c r="K20" s="55">
        <f>H20-G20</f>
        <v>12.95</v>
      </c>
      <c r="L20" s="50">
        <v>0</v>
      </c>
    </row>
    <row r="21" spans="1:12">
      <c r="D21" s="5" t="s">
        <v>66</v>
      </c>
      <c r="E21" s="6">
        <v>9</v>
      </c>
      <c r="F21" s="64">
        <v>11.8</v>
      </c>
      <c r="G21" s="64">
        <v>7</v>
      </c>
      <c r="H21" s="64">
        <v>14.95</v>
      </c>
      <c r="I21" s="40">
        <v>2.4300000000000002</v>
      </c>
      <c r="J21" s="53">
        <v>3</v>
      </c>
      <c r="K21" s="55">
        <f>H21-G21</f>
        <v>7.9499999999999993</v>
      </c>
      <c r="L21" s="50">
        <v>0</v>
      </c>
    </row>
    <row r="22" spans="1:12">
      <c r="D22" s="5" t="s">
        <v>65</v>
      </c>
      <c r="E22" s="6">
        <v>6</v>
      </c>
      <c r="F22" s="64">
        <v>10.07</v>
      </c>
      <c r="G22" s="64">
        <v>7</v>
      </c>
      <c r="H22" s="64">
        <v>13.95</v>
      </c>
      <c r="I22" s="40">
        <v>2.69</v>
      </c>
      <c r="J22" s="53">
        <v>4</v>
      </c>
      <c r="K22" s="55">
        <f>H22-G22</f>
        <v>6.9499999999999993</v>
      </c>
      <c r="L22" s="50">
        <v>0</v>
      </c>
    </row>
    <row r="25" spans="1:12" ht="18" thickBot="1"/>
    <row r="26" spans="1:12" ht="18" thickBot="1">
      <c r="A26" s="27">
        <v>1.4</v>
      </c>
      <c r="B26" s="30" t="s">
        <v>89</v>
      </c>
      <c r="D26" s="12" t="s">
        <v>91</v>
      </c>
      <c r="E26" s="15"/>
    </row>
    <row r="27" spans="1:12">
      <c r="D27" s="30"/>
    </row>
    <row r="28" spans="1:12">
      <c r="D28" s="43" t="s">
        <v>19</v>
      </c>
      <c r="E28" s="46" t="s">
        <v>21</v>
      </c>
    </row>
    <row r="29" spans="1:12">
      <c r="D29" s="51" t="s">
        <v>95</v>
      </c>
      <c r="E29" s="54">
        <v>14.5</v>
      </c>
    </row>
    <row r="30" spans="1:12">
      <c r="D30" s="51" t="s">
        <v>52</v>
      </c>
      <c r="E30" s="54">
        <v>14.5</v>
      </c>
    </row>
    <row r="31" spans="1:12">
      <c r="D31" s="51" t="s">
        <v>24</v>
      </c>
      <c r="E31" s="54">
        <v>19.95</v>
      </c>
    </row>
    <row r="34" spans="1:6" ht="18" thickBot="1"/>
    <row r="35" spans="1:6" ht="18" thickBot="1">
      <c r="A35" s="28">
        <v>1.5</v>
      </c>
      <c r="B35" s="29" t="s">
        <v>88</v>
      </c>
      <c r="D35" s="12" t="s">
        <v>68</v>
      </c>
      <c r="E35" s="12"/>
      <c r="F35" s="15"/>
    </row>
    <row r="37" spans="1:6">
      <c r="D37" s="7" t="s">
        <v>21</v>
      </c>
      <c r="E37" s="8" t="s">
        <v>67</v>
      </c>
      <c r="F37" s="52" t="s">
        <v>105</v>
      </c>
    </row>
    <row r="38" spans="1:6">
      <c r="D38" s="36">
        <v>5</v>
      </c>
      <c r="E38" s="40">
        <v>1</v>
      </c>
      <c r="F38" s="55" t="str">
        <f>TEXT(D38, "$0.00")</f>
        <v>$5.00</v>
      </c>
    </row>
    <row r="39" spans="1:6">
      <c r="D39" s="36">
        <v>7</v>
      </c>
      <c r="E39" s="40">
        <v>3</v>
      </c>
      <c r="F39" s="55" t="str">
        <f t="shared" ref="F39:F51" si="0">TEXT(D39, "$0.00")</f>
        <v>$7.00</v>
      </c>
    </row>
    <row r="40" spans="1:6">
      <c r="D40" s="36">
        <v>9</v>
      </c>
      <c r="E40" s="40">
        <v>3</v>
      </c>
      <c r="F40" s="55" t="str">
        <f t="shared" si="0"/>
        <v>$9.00</v>
      </c>
    </row>
    <row r="41" spans="1:6">
      <c r="D41" s="36">
        <v>10.5</v>
      </c>
      <c r="E41" s="40">
        <v>2</v>
      </c>
      <c r="F41" s="55" t="str">
        <f t="shared" si="0"/>
        <v>$10.50</v>
      </c>
    </row>
    <row r="42" spans="1:6">
      <c r="D42" s="36">
        <v>11.95</v>
      </c>
      <c r="E42" s="40">
        <v>3</v>
      </c>
      <c r="F42" s="55" t="str">
        <f t="shared" si="0"/>
        <v>$11.95</v>
      </c>
    </row>
    <row r="43" spans="1:6">
      <c r="D43" s="36">
        <v>12.95</v>
      </c>
      <c r="E43" s="40">
        <v>2</v>
      </c>
      <c r="F43" s="55" t="str">
        <f t="shared" si="0"/>
        <v>$12.95</v>
      </c>
    </row>
    <row r="44" spans="1:6">
      <c r="D44" s="36">
        <v>13.95</v>
      </c>
      <c r="E44" s="40">
        <v>3</v>
      </c>
      <c r="F44" s="55" t="str">
        <f t="shared" si="0"/>
        <v>$13.95</v>
      </c>
    </row>
    <row r="45" spans="1:6">
      <c r="D45" s="36">
        <v>14.5</v>
      </c>
      <c r="E45" s="40">
        <v>3</v>
      </c>
      <c r="F45" s="55" t="str">
        <f t="shared" si="0"/>
        <v>$14.50</v>
      </c>
    </row>
    <row r="46" spans="1:6">
      <c r="D46" s="36">
        <v>14.95</v>
      </c>
      <c r="E46" s="40">
        <v>2</v>
      </c>
      <c r="F46" s="55" t="str">
        <f t="shared" si="0"/>
        <v>$14.95</v>
      </c>
    </row>
    <row r="47" spans="1:6">
      <c r="D47" s="36">
        <v>15.5</v>
      </c>
      <c r="E47" s="40">
        <v>2</v>
      </c>
      <c r="F47" s="55" t="str">
        <f t="shared" si="0"/>
        <v>$15.50</v>
      </c>
    </row>
    <row r="48" spans="1:6">
      <c r="D48" s="36">
        <v>16.5</v>
      </c>
      <c r="E48" s="40">
        <v>1</v>
      </c>
      <c r="F48" s="55" t="str">
        <f t="shared" si="0"/>
        <v>$16.50</v>
      </c>
    </row>
    <row r="49" spans="1:12">
      <c r="D49" s="36">
        <v>16.95</v>
      </c>
      <c r="E49" s="40">
        <v>1</v>
      </c>
      <c r="F49" s="55" t="str">
        <f t="shared" si="0"/>
        <v>$16.95</v>
      </c>
    </row>
    <row r="50" spans="1:12">
      <c r="D50" s="36">
        <v>17.95</v>
      </c>
      <c r="E50" s="40">
        <v>5</v>
      </c>
      <c r="F50" s="55" t="str">
        <f t="shared" si="0"/>
        <v>$17.95</v>
      </c>
    </row>
    <row r="51" spans="1:12">
      <c r="D51" s="36">
        <v>19.95</v>
      </c>
      <c r="E51" s="40">
        <v>1</v>
      </c>
      <c r="F51" s="55" t="str">
        <f t="shared" si="0"/>
        <v>$19.95</v>
      </c>
    </row>
    <row r="54" spans="1:12" ht="18" thickBot="1"/>
    <row r="55" spans="1:12" ht="18" thickBot="1">
      <c r="A55" s="28">
        <v>1.6</v>
      </c>
      <c r="B55" s="29" t="s">
        <v>88</v>
      </c>
      <c r="D55" s="12" t="s">
        <v>84</v>
      </c>
      <c r="E55" s="12"/>
      <c r="F55" s="12"/>
      <c r="G55" s="23"/>
    </row>
    <row r="57" spans="1:12">
      <c r="D57" s="7" t="s">
        <v>27</v>
      </c>
      <c r="E57" s="8" t="s">
        <v>32</v>
      </c>
      <c r="F57" s="58" t="s">
        <v>97</v>
      </c>
      <c r="G57" s="25" t="s">
        <v>106</v>
      </c>
    </row>
    <row r="58" spans="1:12">
      <c r="D58" s="5" t="s">
        <v>29</v>
      </c>
      <c r="E58" s="40">
        <v>7</v>
      </c>
      <c r="F58" s="50">
        <f>E58/SUM($E$58:$E$60)</f>
        <v>0.21875</v>
      </c>
      <c r="G58" s="57" t="s">
        <v>98</v>
      </c>
    </row>
    <row r="59" spans="1:12">
      <c r="D59" s="5" t="s">
        <v>30</v>
      </c>
      <c r="E59" s="40">
        <v>15</v>
      </c>
      <c r="F59" s="50">
        <f t="shared" ref="F59" si="1">E59/SUM($E$58:$E$60)</f>
        <v>0.46875</v>
      </c>
      <c r="G59" s="57" t="s">
        <v>99</v>
      </c>
    </row>
    <row r="60" spans="1:12">
      <c r="D60" s="5" t="s">
        <v>31</v>
      </c>
      <c r="E60" s="40">
        <v>10</v>
      </c>
      <c r="F60" s="50">
        <f>E60/SUM($E$58:$E$60)</f>
        <v>0.3125</v>
      </c>
      <c r="G60" s="57" t="s">
        <v>100</v>
      </c>
    </row>
    <row r="63" spans="1:12" ht="18" thickBot="1"/>
    <row r="64" spans="1:12" ht="18" thickBot="1">
      <c r="A64" s="28">
        <v>1.7</v>
      </c>
      <c r="B64" s="29" t="s">
        <v>88</v>
      </c>
      <c r="D64" s="12" t="s">
        <v>77</v>
      </c>
      <c r="E64" s="12"/>
      <c r="F64" s="12"/>
      <c r="G64" s="12"/>
      <c r="H64" s="12"/>
      <c r="I64" s="12"/>
      <c r="J64" s="12"/>
      <c r="K64" s="12"/>
      <c r="L64" s="23"/>
    </row>
    <row r="66" spans="1:12">
      <c r="D66" s="7" t="s">
        <v>20</v>
      </c>
      <c r="E66" s="7" t="s">
        <v>27</v>
      </c>
      <c r="F66" s="8" t="s">
        <v>32</v>
      </c>
      <c r="G66" s="25" t="s">
        <v>106</v>
      </c>
    </row>
    <row r="67" spans="1:12">
      <c r="D67" s="5" t="s">
        <v>65</v>
      </c>
      <c r="E67" s="19" t="s">
        <v>29</v>
      </c>
      <c r="F67" s="6">
        <v>3</v>
      </c>
      <c r="G67" s="49" t="s">
        <v>98</v>
      </c>
      <c r="I67" s="34" t="s">
        <v>104</v>
      </c>
      <c r="J67" s="34" t="s">
        <v>103</v>
      </c>
    </row>
    <row r="68" spans="1:12">
      <c r="D68" s="5" t="s">
        <v>65</v>
      </c>
      <c r="E68" s="19" t="s">
        <v>30</v>
      </c>
      <c r="F68" s="6">
        <v>3</v>
      </c>
      <c r="G68" s="49" t="s">
        <v>99</v>
      </c>
      <c r="I68" s="34" t="s">
        <v>101</v>
      </c>
      <c r="J68" t="s">
        <v>98</v>
      </c>
      <c r="K68" t="s">
        <v>99</v>
      </c>
      <c r="L68" t="s">
        <v>100</v>
      </c>
    </row>
    <row r="69" spans="1:12">
      <c r="D69" s="5" t="s">
        <v>23</v>
      </c>
      <c r="E69" s="19" t="s">
        <v>29</v>
      </c>
      <c r="F69" s="6">
        <v>2</v>
      </c>
      <c r="G69" s="49" t="s">
        <v>98</v>
      </c>
      <c r="I69" s="56" t="s">
        <v>65</v>
      </c>
      <c r="J69" s="39">
        <v>3</v>
      </c>
      <c r="K69" s="39">
        <v>3</v>
      </c>
      <c r="L69" s="39"/>
    </row>
    <row r="70" spans="1:12">
      <c r="D70" s="5" t="s">
        <v>23</v>
      </c>
      <c r="E70" s="19" t="s">
        <v>30</v>
      </c>
      <c r="F70" s="6">
        <v>3</v>
      </c>
      <c r="G70" s="49" t="s">
        <v>99</v>
      </c>
      <c r="I70" s="56" t="s">
        <v>66</v>
      </c>
      <c r="J70" s="39">
        <v>2</v>
      </c>
      <c r="K70" s="39">
        <v>7</v>
      </c>
      <c r="L70" s="39"/>
    </row>
    <row r="71" spans="1:12">
      <c r="D71" s="5" t="s">
        <v>23</v>
      </c>
      <c r="E71" s="19" t="s">
        <v>31</v>
      </c>
      <c r="F71" s="6">
        <v>3</v>
      </c>
      <c r="G71" s="49" t="s">
        <v>100</v>
      </c>
      <c r="I71" s="56" t="s">
        <v>23</v>
      </c>
      <c r="J71" s="39">
        <v>2</v>
      </c>
      <c r="K71" s="39">
        <v>3</v>
      </c>
      <c r="L71" s="39">
        <v>3</v>
      </c>
    </row>
    <row r="72" spans="1:12">
      <c r="D72" s="5" t="s">
        <v>25</v>
      </c>
      <c r="E72" s="19" t="s">
        <v>30</v>
      </c>
      <c r="F72" s="6">
        <v>2</v>
      </c>
      <c r="G72" s="49" t="s">
        <v>99</v>
      </c>
      <c r="I72" s="56" t="s">
        <v>25</v>
      </c>
      <c r="J72" s="39"/>
      <c r="K72" s="39">
        <v>2</v>
      </c>
      <c r="L72" s="39">
        <v>7</v>
      </c>
    </row>
    <row r="73" spans="1:12">
      <c r="D73" s="5" t="s">
        <v>25</v>
      </c>
      <c r="E73" s="19" t="s">
        <v>31</v>
      </c>
      <c r="F73" s="6">
        <v>7</v>
      </c>
      <c r="G73" s="49" t="s">
        <v>100</v>
      </c>
    </row>
    <row r="74" spans="1:12">
      <c r="D74" s="5" t="s">
        <v>66</v>
      </c>
      <c r="E74" s="19" t="s">
        <v>29</v>
      </c>
      <c r="F74" s="6">
        <v>2</v>
      </c>
      <c r="G74" s="49" t="s">
        <v>98</v>
      </c>
    </row>
    <row r="75" spans="1:12">
      <c r="D75" s="5" t="s">
        <v>66</v>
      </c>
      <c r="E75" s="19" t="s">
        <v>30</v>
      </c>
      <c r="F75" s="6">
        <v>7</v>
      </c>
      <c r="G75" s="49" t="s">
        <v>99</v>
      </c>
    </row>
    <row r="78" spans="1:12" ht="18" thickBot="1"/>
    <row r="79" spans="1:12" ht="18" thickBot="1">
      <c r="A79" s="28">
        <v>1.8</v>
      </c>
      <c r="B79" s="29" t="s">
        <v>89</v>
      </c>
      <c r="D79" s="12" t="s">
        <v>85</v>
      </c>
      <c r="E79" s="23"/>
    </row>
    <row r="81" spans="4:5">
      <c r="D81" s="7" t="s">
        <v>27</v>
      </c>
      <c r="E81" s="7" t="s">
        <v>19</v>
      </c>
    </row>
    <row r="82" spans="4:5">
      <c r="D82" s="5" t="s">
        <v>29</v>
      </c>
      <c r="E82" s="19" t="s">
        <v>22</v>
      </c>
    </row>
    <row r="83" spans="4:5">
      <c r="D83" s="5" t="s">
        <v>29</v>
      </c>
      <c r="E83" s="19" t="s">
        <v>34</v>
      </c>
    </row>
    <row r="84" spans="4:5">
      <c r="D84" s="5" t="s">
        <v>29</v>
      </c>
      <c r="E84" s="19" t="s">
        <v>35</v>
      </c>
    </row>
    <row r="85" spans="4:5">
      <c r="D85" s="5" t="s">
        <v>29</v>
      </c>
      <c r="E85" s="19" t="s">
        <v>36</v>
      </c>
    </row>
    <row r="86" spans="4:5">
      <c r="D86" s="5" t="s">
        <v>29</v>
      </c>
      <c r="E86" s="19" t="s">
        <v>37</v>
      </c>
    </row>
    <row r="87" spans="4:5">
      <c r="D87" s="5" t="s">
        <v>29</v>
      </c>
      <c r="E87" s="19" t="s">
        <v>38</v>
      </c>
    </row>
    <row r="88" spans="4:5">
      <c r="D88" s="5" t="s">
        <v>29</v>
      </c>
      <c r="E88" s="19" t="s">
        <v>39</v>
      </c>
    </row>
    <row r="89" spans="4:5">
      <c r="D89" s="5" t="s">
        <v>30</v>
      </c>
      <c r="E89" s="19" t="s">
        <v>40</v>
      </c>
    </row>
    <row r="90" spans="4:5">
      <c r="D90" s="5" t="s">
        <v>30</v>
      </c>
      <c r="E90" s="19" t="s">
        <v>41</v>
      </c>
    </row>
    <row r="91" spans="4:5">
      <c r="D91" s="5" t="s">
        <v>30</v>
      </c>
      <c r="E91" s="19" t="s">
        <v>42</v>
      </c>
    </row>
    <row r="92" spans="4:5">
      <c r="D92" s="5" t="s">
        <v>30</v>
      </c>
      <c r="E92" s="19" t="s">
        <v>43</v>
      </c>
    </row>
    <row r="93" spans="4:5">
      <c r="D93" s="5" t="s">
        <v>30</v>
      </c>
      <c r="E93" s="19" t="s">
        <v>44</v>
      </c>
    </row>
    <row r="94" spans="4:5">
      <c r="D94" s="5" t="s">
        <v>30</v>
      </c>
      <c r="E94" s="19" t="s">
        <v>45</v>
      </c>
    </row>
    <row r="95" spans="4:5">
      <c r="D95" s="5" t="s">
        <v>30</v>
      </c>
      <c r="E95" s="19" t="s">
        <v>46</v>
      </c>
    </row>
    <row r="96" spans="4:5">
      <c r="D96" s="5" t="s">
        <v>30</v>
      </c>
      <c r="E96" s="19" t="s">
        <v>47</v>
      </c>
    </row>
    <row r="97" spans="4:5">
      <c r="D97" s="5" t="s">
        <v>30</v>
      </c>
      <c r="E97" s="19" t="s">
        <v>48</v>
      </c>
    </row>
    <row r="98" spans="4:5">
      <c r="D98" s="5" t="s">
        <v>30</v>
      </c>
      <c r="E98" s="19" t="s">
        <v>49</v>
      </c>
    </row>
    <row r="99" spans="4:5">
      <c r="D99" s="5" t="s">
        <v>30</v>
      </c>
      <c r="E99" s="19" t="s">
        <v>50</v>
      </c>
    </row>
    <row r="100" spans="4:5">
      <c r="D100" s="5" t="s">
        <v>30</v>
      </c>
      <c r="E100" s="19" t="s">
        <v>51</v>
      </c>
    </row>
    <row r="101" spans="4:5">
      <c r="D101" s="5" t="s">
        <v>30</v>
      </c>
      <c r="E101" s="19" t="s">
        <v>52</v>
      </c>
    </row>
    <row r="102" spans="4:5">
      <c r="D102" s="5" t="s">
        <v>30</v>
      </c>
      <c r="E102" s="19" t="s">
        <v>53</v>
      </c>
    </row>
    <row r="103" spans="4:5">
      <c r="D103" s="5" t="s">
        <v>30</v>
      </c>
      <c r="E103" s="19" t="s">
        <v>54</v>
      </c>
    </row>
    <row r="104" spans="4:5">
      <c r="D104" s="5" t="s">
        <v>31</v>
      </c>
      <c r="E104" s="19" t="s">
        <v>55</v>
      </c>
    </row>
    <row r="105" spans="4:5">
      <c r="D105" s="5" t="s">
        <v>31</v>
      </c>
      <c r="E105" s="19" t="s">
        <v>56</v>
      </c>
    </row>
    <row r="106" spans="4:5">
      <c r="D106" s="5" t="s">
        <v>31</v>
      </c>
      <c r="E106" s="19" t="s">
        <v>57</v>
      </c>
    </row>
    <row r="107" spans="4:5">
      <c r="D107" s="5" t="s">
        <v>31</v>
      </c>
      <c r="E107" s="19" t="s">
        <v>58</v>
      </c>
    </row>
    <row r="108" spans="4:5">
      <c r="D108" s="5" t="s">
        <v>31</v>
      </c>
      <c r="E108" s="19" t="s">
        <v>59</v>
      </c>
    </row>
    <row r="109" spans="4:5">
      <c r="D109" s="5" t="s">
        <v>31</v>
      </c>
      <c r="E109" s="19" t="s">
        <v>60</v>
      </c>
    </row>
    <row r="110" spans="4:5">
      <c r="D110" s="5" t="s">
        <v>31</v>
      </c>
      <c r="E110" s="19" t="s">
        <v>61</v>
      </c>
    </row>
    <row r="111" spans="4:5">
      <c r="D111" s="5" t="s">
        <v>31</v>
      </c>
      <c r="E111" s="19" t="s">
        <v>62</v>
      </c>
    </row>
    <row r="112" spans="4:5">
      <c r="D112" s="5" t="s">
        <v>31</v>
      </c>
      <c r="E112" s="19" t="s">
        <v>63</v>
      </c>
    </row>
    <row r="113" spans="4:5">
      <c r="D113" s="5" t="s">
        <v>31</v>
      </c>
      <c r="E113" s="19" t="s">
        <v>24</v>
      </c>
    </row>
  </sheetData>
  <sortState xmlns:xlrd2="http://schemas.microsoft.com/office/spreadsheetml/2017/richdata2" ref="D38:F51">
    <sortCondition ref="D38:D51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161B-FD36-5C4E-91E8-5359C508D397}">
  <sheetPr codeName="Sheet3"/>
  <dimension ref="A1:N118"/>
  <sheetViews>
    <sheetView showGridLines="0" topLeftCell="A22" zoomScaleNormal="100" workbookViewId="0">
      <selection activeCell="X36" sqref="X36"/>
    </sheetView>
  </sheetViews>
  <sheetFormatPr baseColWidth="10" defaultRowHeight="17"/>
  <cols>
    <col min="1" max="1" width="4.6640625" style="27" bestFit="1" customWidth="1"/>
    <col min="2" max="2" width="15.5" style="27" bestFit="1" customWidth="1"/>
    <col min="3" max="3" width="7" customWidth="1"/>
    <col min="4" max="5" width="30.83203125" customWidth="1"/>
    <col min="10" max="11" width="30.83203125" customWidth="1"/>
    <col min="13" max="14" width="10.83203125" style="27"/>
  </cols>
  <sheetData>
    <row r="1" spans="1:6" ht="18" thickBot="1"/>
    <row r="2" spans="1:6" ht="20" thickBot="1">
      <c r="A2" s="27">
        <v>2.1</v>
      </c>
      <c r="B2" s="30" t="s">
        <v>89</v>
      </c>
      <c r="D2" s="12" t="s">
        <v>92</v>
      </c>
      <c r="E2" s="13"/>
    </row>
    <row r="4" spans="1:6">
      <c r="D4" s="46" t="s">
        <v>132</v>
      </c>
      <c r="E4" s="46" t="s">
        <v>131</v>
      </c>
    </row>
    <row r="5" spans="1:6">
      <c r="D5" s="47">
        <v>44927</v>
      </c>
      <c r="E5" s="48">
        <v>45016</v>
      </c>
    </row>
    <row r="8" spans="1:6" ht="18" thickBot="1"/>
    <row r="9" spans="1:6" ht="20" thickBot="1">
      <c r="A9" s="27">
        <v>2.2000000000000002</v>
      </c>
      <c r="B9" s="30" t="s">
        <v>89</v>
      </c>
      <c r="D9" s="12" t="s">
        <v>93</v>
      </c>
      <c r="E9" s="13"/>
    </row>
    <row r="11" spans="1:6">
      <c r="D11" s="8" t="s">
        <v>133</v>
      </c>
      <c r="E11" s="8" t="s">
        <v>134</v>
      </c>
    </row>
    <row r="12" spans="1:6">
      <c r="D12" s="49">
        <v>5370</v>
      </c>
      <c r="E12" s="49">
        <v>12234</v>
      </c>
    </row>
    <row r="13" spans="1:6">
      <c r="D13" s="30"/>
    </row>
    <row r="14" spans="1:6">
      <c r="D14" s="30"/>
    </row>
    <row r="15" spans="1:6" ht="18" thickBot="1">
      <c r="D15" s="30"/>
    </row>
    <row r="16" spans="1:6" ht="18" thickBot="1">
      <c r="A16" s="27">
        <v>2.2999999999999998</v>
      </c>
      <c r="B16" s="30" t="s">
        <v>88</v>
      </c>
      <c r="D16" s="12" t="s">
        <v>71</v>
      </c>
      <c r="E16" s="14"/>
      <c r="F16" s="14"/>
    </row>
    <row r="18" spans="4:6">
      <c r="D18" s="7" t="s">
        <v>69</v>
      </c>
      <c r="E18" s="8" t="s">
        <v>16</v>
      </c>
      <c r="F18" s="25" t="s">
        <v>130</v>
      </c>
    </row>
    <row r="19" spans="4:6">
      <c r="D19" s="9">
        <v>0</v>
      </c>
      <c r="E19" s="6">
        <v>27</v>
      </c>
      <c r="F19" s="42">
        <f t="shared" ref="F19:F33" si="0">E19/SUM($E$19:$E$33)</f>
        <v>5.0279329608938546E-3</v>
      </c>
    </row>
    <row r="20" spans="4:6">
      <c r="D20" s="9">
        <v>1</v>
      </c>
      <c r="E20" s="6">
        <v>2053</v>
      </c>
      <c r="F20" s="42">
        <f t="shared" si="0"/>
        <v>0.38230912476722534</v>
      </c>
    </row>
    <row r="21" spans="4:6">
      <c r="D21" s="9">
        <v>2</v>
      </c>
      <c r="E21" s="6">
        <v>1559</v>
      </c>
      <c r="F21" s="42">
        <f t="shared" si="0"/>
        <v>0.29031657355679702</v>
      </c>
    </row>
    <row r="22" spans="4:6">
      <c r="D22" s="9">
        <v>3</v>
      </c>
      <c r="E22" s="6">
        <v>847</v>
      </c>
      <c r="F22" s="42">
        <f t="shared" si="0"/>
        <v>0.15772811918063315</v>
      </c>
    </row>
    <row r="23" spans="4:6">
      <c r="D23" s="9">
        <v>4</v>
      </c>
      <c r="E23" s="6">
        <v>702</v>
      </c>
      <c r="F23" s="42">
        <f t="shared" si="0"/>
        <v>0.13072625698324022</v>
      </c>
    </row>
    <row r="24" spans="4:6">
      <c r="D24" s="9">
        <v>5</v>
      </c>
      <c r="E24" s="6">
        <v>32</v>
      </c>
      <c r="F24" s="42">
        <f t="shared" si="0"/>
        <v>5.9590316573556795E-3</v>
      </c>
    </row>
    <row r="25" spans="4:6">
      <c r="D25" s="9">
        <v>6</v>
      </c>
      <c r="E25" s="6">
        <v>20</v>
      </c>
      <c r="F25" s="42">
        <f t="shared" si="0"/>
        <v>3.7243947858472998E-3</v>
      </c>
    </row>
    <row r="26" spans="4:6">
      <c r="D26" s="9">
        <v>7</v>
      </c>
      <c r="E26" s="6">
        <v>21</v>
      </c>
      <c r="F26" s="42">
        <f t="shared" si="0"/>
        <v>3.910614525139665E-3</v>
      </c>
    </row>
    <row r="27" spans="4:6">
      <c r="D27" s="9">
        <v>8</v>
      </c>
      <c r="E27" s="6">
        <v>22</v>
      </c>
      <c r="F27" s="42">
        <f t="shared" si="0"/>
        <v>4.0968342644320298E-3</v>
      </c>
    </row>
    <row r="28" spans="4:6">
      <c r="D28" s="9">
        <v>9</v>
      </c>
      <c r="E28" s="6">
        <v>17</v>
      </c>
      <c r="F28" s="42">
        <f t="shared" si="0"/>
        <v>3.165735567970205E-3</v>
      </c>
    </row>
    <row r="29" spans="4:6">
      <c r="D29" s="9">
        <v>10</v>
      </c>
      <c r="E29" s="6">
        <v>16</v>
      </c>
      <c r="F29" s="42">
        <f t="shared" si="0"/>
        <v>2.9795158286778397E-3</v>
      </c>
    </row>
    <row r="30" spans="4:6">
      <c r="D30" s="9">
        <v>11</v>
      </c>
      <c r="E30" s="6">
        <v>14</v>
      </c>
      <c r="F30" s="42">
        <f t="shared" si="0"/>
        <v>2.6070763500931097E-3</v>
      </c>
    </row>
    <row r="31" spans="4:6">
      <c r="D31" s="9">
        <v>12</v>
      </c>
      <c r="E31" s="6">
        <v>20</v>
      </c>
      <c r="F31" s="42">
        <f t="shared" si="0"/>
        <v>3.7243947858472998E-3</v>
      </c>
    </row>
    <row r="32" spans="4:6">
      <c r="D32" s="9">
        <v>13</v>
      </c>
      <c r="E32" s="6">
        <v>13</v>
      </c>
      <c r="F32" s="42">
        <f t="shared" si="0"/>
        <v>2.4208566108007449E-3</v>
      </c>
    </row>
    <row r="33" spans="1:6">
      <c r="D33" s="9">
        <v>14</v>
      </c>
      <c r="E33" s="6">
        <v>7</v>
      </c>
      <c r="F33" s="42">
        <f t="shared" si="0"/>
        <v>1.3035381750465549E-3</v>
      </c>
    </row>
    <row r="34" spans="1:6">
      <c r="D34" s="30"/>
    </row>
    <row r="35" spans="1:6">
      <c r="D35" s="30"/>
    </row>
    <row r="36" spans="1:6" ht="18" thickBot="1">
      <c r="D36" s="30"/>
    </row>
    <row r="37" spans="1:6" ht="18" thickBot="1">
      <c r="A37" s="27">
        <v>2.4</v>
      </c>
      <c r="B37" s="30" t="s">
        <v>89</v>
      </c>
      <c r="D37" s="12" t="s">
        <v>94</v>
      </c>
      <c r="E37" s="14"/>
    </row>
    <row r="38" spans="1:6">
      <c r="D38" s="30"/>
    </row>
    <row r="39" spans="1:6">
      <c r="D39" s="8" t="s">
        <v>135</v>
      </c>
      <c r="E39" s="25" t="s">
        <v>136</v>
      </c>
    </row>
    <row r="40" spans="1:6">
      <c r="D40" s="49">
        <v>54</v>
      </c>
      <c r="E40" s="50">
        <f>D40/D12</f>
        <v>1.0055865921787709E-2</v>
      </c>
    </row>
    <row r="41" spans="1:6">
      <c r="D41" s="30"/>
    </row>
    <row r="42" spans="1:6" ht="18" thickBot="1">
      <c r="D42" s="30"/>
    </row>
    <row r="43" spans="1:6" ht="18" thickBot="1">
      <c r="A43" s="27">
        <v>2.5</v>
      </c>
      <c r="B43" s="30" t="s">
        <v>88</v>
      </c>
      <c r="D43" s="12" t="s">
        <v>18</v>
      </c>
      <c r="E43" s="14"/>
    </row>
    <row r="45" spans="1:6">
      <c r="D45" s="10" t="s">
        <v>9</v>
      </c>
      <c r="E45" s="8" t="s">
        <v>109</v>
      </c>
    </row>
    <row r="46" spans="1:6">
      <c r="D46" s="38">
        <v>0.41666666666666669</v>
      </c>
      <c r="E46" s="6">
        <v>2</v>
      </c>
    </row>
    <row r="47" spans="1:6">
      <c r="D47" s="37" t="s">
        <v>111</v>
      </c>
      <c r="E47" s="6">
        <v>288</v>
      </c>
    </row>
    <row r="48" spans="1:6">
      <c r="D48" s="37" t="s">
        <v>112</v>
      </c>
      <c r="E48" s="6">
        <v>647</v>
      </c>
    </row>
    <row r="49" spans="1:5">
      <c r="D49" s="37" t="s">
        <v>113</v>
      </c>
      <c r="E49" s="6">
        <v>595</v>
      </c>
    </row>
    <row r="50" spans="1:5">
      <c r="D50" s="37" t="s">
        <v>114</v>
      </c>
      <c r="E50" s="6">
        <v>426</v>
      </c>
    </row>
    <row r="51" spans="1:5">
      <c r="D51" s="37" t="s">
        <v>115</v>
      </c>
      <c r="E51" s="6">
        <v>357</v>
      </c>
    </row>
    <row r="52" spans="1:5">
      <c r="D52" s="37" t="s">
        <v>116</v>
      </c>
      <c r="E52" s="6">
        <v>480</v>
      </c>
    </row>
    <row r="53" spans="1:5">
      <c r="D53" s="37" t="s">
        <v>117</v>
      </c>
      <c r="E53" s="6">
        <v>623</v>
      </c>
    </row>
    <row r="54" spans="1:5">
      <c r="D54" s="37" t="s">
        <v>118</v>
      </c>
      <c r="E54" s="6">
        <v>596</v>
      </c>
    </row>
    <row r="55" spans="1:5">
      <c r="D55" s="37" t="s">
        <v>119</v>
      </c>
      <c r="E55" s="6">
        <v>498</v>
      </c>
    </row>
    <row r="56" spans="1:5">
      <c r="D56" s="37" t="s">
        <v>120</v>
      </c>
      <c r="E56" s="6">
        <v>413</v>
      </c>
    </row>
    <row r="57" spans="1:5">
      <c r="D57" s="37" t="s">
        <v>121</v>
      </c>
      <c r="E57" s="6">
        <v>289</v>
      </c>
    </row>
    <row r="58" spans="1:5">
      <c r="D58" s="37" t="s">
        <v>122</v>
      </c>
      <c r="E58" s="6">
        <v>152</v>
      </c>
    </row>
    <row r="59" spans="1:5">
      <c r="D59" s="37" t="s">
        <v>123</v>
      </c>
      <c r="E59" s="6">
        <v>4</v>
      </c>
    </row>
    <row r="60" spans="1:5">
      <c r="D60" s="30"/>
    </row>
    <row r="61" spans="1:5">
      <c r="D61" s="30"/>
    </row>
    <row r="62" spans="1:5" ht="18" thickBot="1">
      <c r="D62" s="30"/>
    </row>
    <row r="63" spans="1:5" ht="18" thickBot="1">
      <c r="A63" s="27">
        <v>2.6</v>
      </c>
      <c r="B63" s="30" t="s">
        <v>88</v>
      </c>
      <c r="D63" s="12" t="s">
        <v>73</v>
      </c>
      <c r="E63" s="14"/>
    </row>
    <row r="64" spans="1:5">
      <c r="D64" s="3"/>
      <c r="E64" s="4"/>
    </row>
    <row r="65" spans="4:5">
      <c r="D65" s="10" t="s">
        <v>9</v>
      </c>
      <c r="E65" s="11" t="s">
        <v>110</v>
      </c>
    </row>
    <row r="66" spans="4:5">
      <c r="D66" s="38">
        <v>0.41666666666666669</v>
      </c>
      <c r="E66" s="26">
        <v>2.5</v>
      </c>
    </row>
    <row r="67" spans="4:5">
      <c r="D67" s="37" t="s">
        <v>111</v>
      </c>
      <c r="E67" s="26">
        <v>2.19</v>
      </c>
    </row>
    <row r="68" spans="4:5">
      <c r="D68" s="37" t="s">
        <v>112</v>
      </c>
      <c r="E68" s="26">
        <v>2.58</v>
      </c>
    </row>
    <row r="69" spans="4:5">
      <c r="D69" s="37" t="s">
        <v>113</v>
      </c>
      <c r="E69" s="26">
        <v>2.65</v>
      </c>
    </row>
    <row r="70" spans="4:5">
      <c r="D70" s="37" t="s">
        <v>114</v>
      </c>
      <c r="E70" s="26">
        <v>2.27</v>
      </c>
    </row>
    <row r="71" spans="4:5">
      <c r="D71" s="37" t="s">
        <v>115</v>
      </c>
      <c r="E71" s="26">
        <v>2.1</v>
      </c>
    </row>
    <row r="72" spans="4:5">
      <c r="D72" s="37" t="s">
        <v>116</v>
      </c>
      <c r="E72" s="26">
        <v>2.2000000000000002</v>
      </c>
    </row>
    <row r="73" spans="4:5">
      <c r="D73" s="37" t="s">
        <v>117</v>
      </c>
      <c r="E73" s="26">
        <v>2.2000000000000002</v>
      </c>
    </row>
    <row r="74" spans="4:5">
      <c r="D74" s="37" t="s">
        <v>118</v>
      </c>
      <c r="E74" s="26">
        <v>2.19</v>
      </c>
    </row>
    <row r="75" spans="4:5">
      <c r="D75" s="37" t="s">
        <v>119</v>
      </c>
      <c r="E75" s="26">
        <v>2.1800000000000002</v>
      </c>
    </row>
    <row r="76" spans="4:5">
      <c r="D76" s="37" t="s">
        <v>120</v>
      </c>
      <c r="E76" s="26">
        <v>2.15</v>
      </c>
    </row>
    <row r="77" spans="4:5">
      <c r="D77" s="37" t="s">
        <v>121</v>
      </c>
      <c r="E77" s="26">
        <v>2.1</v>
      </c>
    </row>
    <row r="78" spans="4:5">
      <c r="D78" s="37" t="s">
        <v>122</v>
      </c>
      <c r="E78" s="26">
        <v>2.0299999999999998</v>
      </c>
    </row>
    <row r="79" spans="4:5">
      <c r="D79" s="37" t="s">
        <v>123</v>
      </c>
      <c r="E79" s="26">
        <v>2.75</v>
      </c>
    </row>
    <row r="80" spans="4:5">
      <c r="D80" s="44"/>
      <c r="E80" s="45"/>
    </row>
    <row r="81" spans="1:5">
      <c r="D81" s="44"/>
      <c r="E81" s="45"/>
    </row>
    <row r="82" spans="1:5" ht="18" thickBot="1">
      <c r="D82" s="30"/>
    </row>
    <row r="83" spans="1:5" ht="18" thickBot="1">
      <c r="A83" s="27">
        <v>2.7</v>
      </c>
      <c r="B83" s="30" t="s">
        <v>88</v>
      </c>
      <c r="D83" s="12" t="s">
        <v>17</v>
      </c>
      <c r="E83" s="14"/>
    </row>
    <row r="85" spans="1:5">
      <c r="D85" s="17" t="s">
        <v>0</v>
      </c>
      <c r="E85" s="11" t="s">
        <v>16</v>
      </c>
    </row>
    <row r="86" spans="1:5">
      <c r="D86" s="16" t="s">
        <v>2</v>
      </c>
      <c r="E86" s="6">
        <v>885</v>
      </c>
    </row>
    <row r="87" spans="1:5">
      <c r="D87" s="16" t="s">
        <v>3</v>
      </c>
      <c r="E87" s="6">
        <v>766</v>
      </c>
    </row>
    <row r="88" spans="1:5">
      <c r="D88" s="16" t="s">
        <v>4</v>
      </c>
      <c r="E88" s="6">
        <v>682</v>
      </c>
    </row>
    <row r="89" spans="1:5">
      <c r="D89" s="16" t="s">
        <v>5</v>
      </c>
      <c r="E89" s="6">
        <v>743</v>
      </c>
    </row>
    <row r="90" spans="1:5">
      <c r="D90" s="16" t="s">
        <v>6</v>
      </c>
      <c r="E90" s="6">
        <v>787</v>
      </c>
    </row>
    <row r="91" spans="1:5">
      <c r="D91" s="16" t="s">
        <v>7</v>
      </c>
      <c r="E91" s="6">
        <v>711</v>
      </c>
    </row>
    <row r="92" spans="1:5">
      <c r="D92" s="16" t="s">
        <v>8</v>
      </c>
      <c r="E92" s="6">
        <v>796</v>
      </c>
    </row>
    <row r="96" spans="1:5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</sheetData>
  <sortState xmlns:xlrd2="http://schemas.microsoft.com/office/spreadsheetml/2017/richdata2" ref="D86:E92">
    <sortCondition ref="D86:D92" customList="Monday,Tuesday,Wednesday,Thursday,Friday,Saturday,Sunday"/>
  </sortState>
  <phoneticPr fontId="12" type="noConversion"/>
  <conditionalFormatting sqref="E19:E33">
    <cfRule type="colorScale" priority="2">
      <colorScale>
        <cfvo type="min"/>
        <cfvo type="max"/>
        <color rgb="FFFCFCFF"/>
        <color rgb="FF63BE7B"/>
      </colorScale>
    </cfRule>
  </conditionalFormatting>
  <conditionalFormatting sqref="E46:E59">
    <cfRule type="colorScale" priority="4">
      <colorScale>
        <cfvo type="min"/>
        <cfvo type="max"/>
        <color rgb="FFFCFCFF"/>
        <color rgb="FF63BE7B"/>
      </colorScale>
    </cfRule>
  </conditionalFormatting>
  <conditionalFormatting sqref="E66:E81">
    <cfRule type="colorScale" priority="7">
      <colorScale>
        <cfvo type="min"/>
        <cfvo type="max"/>
        <color rgb="FFFCFCFF"/>
        <color rgb="FF63BE7B"/>
      </colorScale>
    </cfRule>
  </conditionalFormatting>
  <conditionalFormatting sqref="E86:E92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8ECB-9D0D-3640-AB76-1636E4B970F5}">
  <sheetPr codeName="Sheet1"/>
  <dimension ref="A1:Q141"/>
  <sheetViews>
    <sheetView showGridLines="0" tabSelected="1" zoomScaleNormal="100" workbookViewId="0">
      <selection activeCell="Q75" sqref="Q75"/>
    </sheetView>
  </sheetViews>
  <sheetFormatPr baseColWidth="10" defaultRowHeight="16"/>
  <cols>
    <col min="1" max="1" width="10.1640625" bestFit="1" customWidth="1"/>
    <col min="2" max="2" width="15.83203125" bestFit="1" customWidth="1"/>
    <col min="3" max="3" width="6" customWidth="1"/>
    <col min="4" max="4" width="30.1640625" customWidth="1"/>
    <col min="5" max="5" width="22.5" customWidth="1"/>
    <col min="6" max="6" width="21.33203125" customWidth="1"/>
    <col min="7" max="7" width="12.33203125" bestFit="1" customWidth="1"/>
    <col min="8" max="8" width="16.6640625" bestFit="1" customWidth="1"/>
    <col min="9" max="9" width="16.5" bestFit="1" customWidth="1"/>
    <col min="10" max="10" width="13" customWidth="1"/>
    <col min="11" max="11" width="19.5" customWidth="1"/>
    <col min="12" max="12" width="19.6640625" bestFit="1" customWidth="1"/>
    <col min="13" max="13" width="11.1640625" bestFit="1" customWidth="1"/>
    <col min="14" max="14" width="14.1640625" customWidth="1"/>
    <col min="15" max="15" width="14.6640625" bestFit="1" customWidth="1"/>
    <col min="16" max="16" width="18.33203125" customWidth="1"/>
    <col min="17" max="17" width="14.83203125" bestFit="1" customWidth="1"/>
    <col min="18" max="18" width="12.1640625" customWidth="1"/>
  </cols>
  <sheetData>
    <row r="1" spans="1:9" ht="17" thickBot="1"/>
    <row r="2" spans="1:9" ht="18" thickBot="1">
      <c r="A2" s="30">
        <v>3.1</v>
      </c>
      <c r="B2" s="30" t="s">
        <v>88</v>
      </c>
      <c r="D2" s="12" t="s">
        <v>138</v>
      </c>
      <c r="E2" s="15"/>
      <c r="F2" s="12"/>
      <c r="G2" s="15"/>
      <c r="H2" s="15"/>
      <c r="I2" s="15"/>
    </row>
    <row r="4" spans="1:9">
      <c r="D4" s="7" t="s">
        <v>27</v>
      </c>
      <c r="E4" s="8" t="s">
        <v>32</v>
      </c>
      <c r="F4" s="8" t="s">
        <v>125</v>
      </c>
      <c r="G4" s="8" t="s">
        <v>33</v>
      </c>
      <c r="H4" s="25" t="s">
        <v>87</v>
      </c>
      <c r="I4" s="25" t="s">
        <v>106</v>
      </c>
    </row>
    <row r="5" spans="1:9">
      <c r="D5" s="5" t="s">
        <v>29</v>
      </c>
      <c r="E5" s="6">
        <v>2814</v>
      </c>
      <c r="F5" s="6">
        <v>7.06</v>
      </c>
      <c r="G5" s="65">
        <v>19856</v>
      </c>
      <c r="H5" s="66">
        <f>G5/SUM($G$5:$G$7)</f>
        <v>0.12470959609440896</v>
      </c>
      <c r="I5" s="49" t="s">
        <v>98</v>
      </c>
    </row>
    <row r="6" spans="1:9">
      <c r="D6" s="5" t="s">
        <v>30</v>
      </c>
      <c r="E6" s="6">
        <v>5547</v>
      </c>
      <c r="F6" s="6">
        <v>13.39</v>
      </c>
      <c r="G6" s="65">
        <v>74290.600000000006</v>
      </c>
      <c r="H6" s="66">
        <f>G6/SUM($G$5:$G$7)</f>
        <v>0.46659703462990026</v>
      </c>
      <c r="I6" s="49" t="s">
        <v>99</v>
      </c>
    </row>
    <row r="7" spans="1:9">
      <c r="D7" s="5" t="s">
        <v>31</v>
      </c>
      <c r="E7" s="6">
        <v>3736</v>
      </c>
      <c r="F7" s="6">
        <v>17.420000000000002</v>
      </c>
      <c r="G7" s="65">
        <v>65071.3</v>
      </c>
      <c r="H7" s="66">
        <f>G7/SUM($G$5:$G$7)</f>
        <v>0.40869336927569072</v>
      </c>
      <c r="I7" s="49" t="s">
        <v>100</v>
      </c>
    </row>
    <row r="10" spans="1:9" ht="17" thickBot="1"/>
    <row r="11" spans="1:9" ht="18" thickBot="1">
      <c r="A11" s="27">
        <v>3.2</v>
      </c>
      <c r="B11" s="30" t="s">
        <v>88</v>
      </c>
      <c r="D11" s="12" t="s">
        <v>76</v>
      </c>
      <c r="E11" s="15"/>
      <c r="F11" s="12"/>
      <c r="G11" s="15"/>
      <c r="H11" s="18"/>
      <c r="I11" s="18"/>
    </row>
    <row r="13" spans="1:9">
      <c r="D13" s="20" t="s">
        <v>129</v>
      </c>
      <c r="E13" s="21" t="s">
        <v>16</v>
      </c>
      <c r="F13" s="21" t="s">
        <v>1</v>
      </c>
      <c r="G13" s="21" t="s">
        <v>127</v>
      </c>
      <c r="H13" s="21" t="s">
        <v>70</v>
      </c>
      <c r="I13" s="25" t="s">
        <v>143</v>
      </c>
    </row>
    <row r="14" spans="1:9">
      <c r="D14" s="5" t="s">
        <v>15</v>
      </c>
      <c r="E14" s="40">
        <v>444</v>
      </c>
      <c r="F14" s="6">
        <v>2.06</v>
      </c>
      <c r="G14" s="65">
        <v>11959.95</v>
      </c>
      <c r="H14" s="6">
        <v>26.94</v>
      </c>
      <c r="I14" s="66">
        <f>G14/SUM($G$14:$G$18)</f>
        <v>7.5116868141082135E-2</v>
      </c>
    </row>
    <row r="15" spans="1:9">
      <c r="D15" s="5" t="s">
        <v>14</v>
      </c>
      <c r="E15" s="40">
        <v>1503</v>
      </c>
      <c r="F15" s="6">
        <v>2.16</v>
      </c>
      <c r="G15" s="65">
        <v>42712.7</v>
      </c>
      <c r="H15" s="6">
        <v>28.42</v>
      </c>
      <c r="I15" s="66">
        <f>G15/SUM($G$14:$G$18)</f>
        <v>0.26826569123195321</v>
      </c>
    </row>
    <row r="16" spans="1:9">
      <c r="D16" s="5" t="s">
        <v>13</v>
      </c>
      <c r="E16" s="40">
        <v>1451</v>
      </c>
      <c r="F16" s="6">
        <v>2.16</v>
      </c>
      <c r="G16" s="65">
        <v>41385.050000000003</v>
      </c>
      <c r="H16" s="6">
        <v>28.52</v>
      </c>
      <c r="I16" s="66">
        <f>G16/SUM($G$14:$G$18)</f>
        <v>0.25992711874732682</v>
      </c>
    </row>
    <row r="17" spans="1:9">
      <c r="D17" s="5" t="s">
        <v>12</v>
      </c>
      <c r="E17" s="40">
        <v>1657</v>
      </c>
      <c r="F17" s="6">
        <v>2.52</v>
      </c>
      <c r="G17" s="65">
        <v>54974.35</v>
      </c>
      <c r="H17" s="6">
        <v>33.18</v>
      </c>
      <c r="I17" s="66">
        <f>G17/SUM($G$14:$G$18)</f>
        <v>0.34527744681973571</v>
      </c>
    </row>
    <row r="18" spans="1:9">
      <c r="D18" s="5" t="s">
        <v>11</v>
      </c>
      <c r="E18" s="40">
        <v>288</v>
      </c>
      <c r="F18" s="6">
        <v>2.1800000000000002</v>
      </c>
      <c r="G18" s="65">
        <v>8185.85</v>
      </c>
      <c r="H18" s="6">
        <v>28.42</v>
      </c>
      <c r="I18" s="66">
        <f>G18/SUM($G$14:$G$18)</f>
        <v>5.1412875059902191E-2</v>
      </c>
    </row>
    <row r="19" spans="1:9">
      <c r="D19" s="24"/>
      <c r="E19" s="22"/>
      <c r="F19" s="22"/>
      <c r="G19" s="22"/>
      <c r="H19" s="22"/>
      <c r="I19" s="32"/>
    </row>
    <row r="20" spans="1:9">
      <c r="D20" s="24"/>
      <c r="E20" s="22"/>
      <c r="F20" s="22"/>
      <c r="G20" s="22"/>
      <c r="H20" s="22"/>
      <c r="I20" s="32"/>
    </row>
    <row r="21" spans="1:9" ht="17" thickBot="1"/>
    <row r="22" spans="1:9" ht="18" thickBot="1">
      <c r="A22" s="30">
        <v>3.3</v>
      </c>
      <c r="B22" s="30" t="s">
        <v>88</v>
      </c>
      <c r="D22" s="12" t="s">
        <v>75</v>
      </c>
      <c r="E22" s="15"/>
      <c r="F22" s="12"/>
      <c r="G22" s="15"/>
      <c r="H22" s="18"/>
      <c r="I22" s="18"/>
    </row>
    <row r="24" spans="1:9">
      <c r="D24" s="20" t="s">
        <v>0</v>
      </c>
      <c r="E24" s="21" t="s">
        <v>16</v>
      </c>
      <c r="F24" s="21" t="s">
        <v>1</v>
      </c>
      <c r="G24" s="21" t="s">
        <v>33</v>
      </c>
      <c r="H24" s="21" t="s">
        <v>70</v>
      </c>
      <c r="I24" s="25" t="s">
        <v>143</v>
      </c>
    </row>
    <row r="25" spans="1:9">
      <c r="D25" s="5" t="s">
        <v>8</v>
      </c>
      <c r="E25" s="40">
        <v>792</v>
      </c>
      <c r="F25" s="6">
        <v>2.2200000000000002</v>
      </c>
      <c r="G25" s="65">
        <v>23226.45</v>
      </c>
      <c r="H25" s="6">
        <v>29.33</v>
      </c>
      <c r="I25" s="66">
        <f t="shared" ref="I25:I31" si="0">G25/SUM($G$25:$G$31)</f>
        <v>0.1458783842771447</v>
      </c>
    </row>
    <row r="26" spans="1:9">
      <c r="D26" s="5" t="s">
        <v>7</v>
      </c>
      <c r="E26" s="40">
        <v>708</v>
      </c>
      <c r="F26" s="6">
        <v>2.2599999999999998</v>
      </c>
      <c r="G26" s="65">
        <v>21170.9</v>
      </c>
      <c r="H26" s="6">
        <v>29.9</v>
      </c>
      <c r="I26" s="66">
        <f t="shared" si="0"/>
        <v>0.1329680896431871</v>
      </c>
    </row>
    <row r="27" spans="1:9">
      <c r="D27" s="5" t="s">
        <v>6</v>
      </c>
      <c r="E27" s="40">
        <v>784</v>
      </c>
      <c r="F27" s="6">
        <v>2.2999999999999998</v>
      </c>
      <c r="G27" s="65">
        <v>23707.95</v>
      </c>
      <c r="H27" s="6">
        <v>30.24</v>
      </c>
      <c r="I27" s="66">
        <f t="shared" si="0"/>
        <v>0.14890254173682732</v>
      </c>
    </row>
    <row r="28" spans="1:9">
      <c r="D28" s="5" t="s">
        <v>5</v>
      </c>
      <c r="E28" s="40">
        <v>739</v>
      </c>
      <c r="F28" s="6">
        <v>2.2599999999999998</v>
      </c>
      <c r="G28" s="65">
        <v>21846.85</v>
      </c>
      <c r="H28" s="6">
        <v>29.56</v>
      </c>
      <c r="I28" s="66">
        <f t="shared" si="0"/>
        <v>0.1372135293833168</v>
      </c>
    </row>
    <row r="29" spans="1:9">
      <c r="D29" s="5" t="s">
        <v>4</v>
      </c>
      <c r="E29" s="40">
        <v>680</v>
      </c>
      <c r="F29" s="6">
        <v>2.2400000000000002</v>
      </c>
      <c r="G29" s="65">
        <v>19902.3</v>
      </c>
      <c r="H29" s="6">
        <v>29.27</v>
      </c>
      <c r="I29" s="66">
        <f t="shared" si="0"/>
        <v>0.12500039254380316</v>
      </c>
    </row>
    <row r="30" spans="1:9">
      <c r="D30" s="5" t="s">
        <v>3</v>
      </c>
      <c r="E30" s="40">
        <v>759</v>
      </c>
      <c r="F30" s="6">
        <v>2.3199999999999998</v>
      </c>
      <c r="G30" s="65">
        <v>23356</v>
      </c>
      <c r="H30" s="6">
        <v>30.77</v>
      </c>
      <c r="I30" s="66">
        <f t="shared" si="0"/>
        <v>0.14669204907237188</v>
      </c>
    </row>
    <row r="31" spans="1:9">
      <c r="D31" s="5" t="s">
        <v>2</v>
      </c>
      <c r="E31" s="40">
        <v>881</v>
      </c>
      <c r="F31" s="6">
        <v>2.2599999999999998</v>
      </c>
      <c r="G31" s="65">
        <v>26007.45</v>
      </c>
      <c r="H31" s="6">
        <v>29.52</v>
      </c>
      <c r="I31" s="66">
        <f t="shared" si="0"/>
        <v>0.16334501334334894</v>
      </c>
    </row>
    <row r="32" spans="1:9">
      <c r="E32" s="41"/>
    </row>
    <row r="34" spans="1:8" ht="17" thickBot="1"/>
    <row r="35" spans="1:8" ht="18" thickBot="1">
      <c r="A35" s="27">
        <v>3.4</v>
      </c>
      <c r="B35" s="30" t="s">
        <v>88</v>
      </c>
      <c r="D35" s="12" t="s">
        <v>126</v>
      </c>
      <c r="E35" s="15"/>
      <c r="F35" s="18"/>
      <c r="G35" s="18"/>
      <c r="H35" s="18"/>
    </row>
    <row r="37" spans="1:8">
      <c r="D37" s="20" t="s">
        <v>20</v>
      </c>
      <c r="E37" s="21" t="s">
        <v>125</v>
      </c>
      <c r="F37" s="21" t="s">
        <v>128</v>
      </c>
      <c r="G37" s="21" t="s">
        <v>127</v>
      </c>
      <c r="H37" s="25" t="s">
        <v>143</v>
      </c>
    </row>
    <row r="38" spans="1:8">
      <c r="D38" s="5" t="s">
        <v>23</v>
      </c>
      <c r="E38" s="6">
        <v>13.46</v>
      </c>
      <c r="F38" s="40">
        <v>3470</v>
      </c>
      <c r="G38" s="65">
        <v>46720.65</v>
      </c>
      <c r="H38" s="63">
        <f>G38/SUM($G$38:$G$41)</f>
        <v>0.29343842620710359</v>
      </c>
    </row>
    <row r="39" spans="1:8">
      <c r="D39" s="5" t="s">
        <v>25</v>
      </c>
      <c r="E39" s="6">
        <v>16.78</v>
      </c>
      <c r="F39" s="40">
        <v>2948</v>
      </c>
      <c r="G39" s="65">
        <v>49462.7</v>
      </c>
      <c r="H39" s="63">
        <f t="shared" ref="H39:H41" si="1">G39/SUM($G$38:$G$41)</f>
        <v>0.3106604219751673</v>
      </c>
    </row>
    <row r="40" spans="1:8">
      <c r="D40" s="5" t="s">
        <v>66</v>
      </c>
      <c r="E40" s="6">
        <v>11.82</v>
      </c>
      <c r="F40" s="40">
        <v>2945</v>
      </c>
      <c r="G40" s="65">
        <v>34796.800000000003</v>
      </c>
      <c r="H40" s="63">
        <f t="shared" si="1"/>
        <v>0.21854829136673701</v>
      </c>
    </row>
    <row r="41" spans="1:8">
      <c r="D41" s="5" t="s">
        <v>65</v>
      </c>
      <c r="E41" s="6">
        <v>10.33</v>
      </c>
      <c r="F41" s="40">
        <v>2734</v>
      </c>
      <c r="G41" s="65">
        <v>28237.75</v>
      </c>
      <c r="H41" s="63">
        <f t="shared" si="1"/>
        <v>0.17735286045099197</v>
      </c>
    </row>
    <row r="44" spans="1:8" ht="17" thickBot="1"/>
    <row r="45" spans="1:8" ht="18" thickBot="1">
      <c r="A45" s="30">
        <v>3.5</v>
      </c>
      <c r="B45" s="30" t="s">
        <v>89</v>
      </c>
      <c r="D45" s="12" t="s">
        <v>74</v>
      </c>
      <c r="E45" s="15"/>
      <c r="F45" s="18"/>
    </row>
    <row r="47" spans="1:8">
      <c r="D47" s="7" t="s">
        <v>27</v>
      </c>
      <c r="E47" s="8" t="s">
        <v>10</v>
      </c>
      <c r="F47" s="8" t="s">
        <v>28</v>
      </c>
      <c r="G47" s="1"/>
    </row>
    <row r="48" spans="1:8">
      <c r="D48" s="5" t="s">
        <v>29</v>
      </c>
      <c r="E48" s="6" t="s">
        <v>11</v>
      </c>
      <c r="F48" s="6">
        <v>152</v>
      </c>
      <c r="G48" s="2"/>
    </row>
    <row r="49" spans="4:15">
      <c r="D49" s="5" t="s">
        <v>30</v>
      </c>
      <c r="E49" s="6" t="s">
        <v>11</v>
      </c>
      <c r="F49" s="6">
        <v>285</v>
      </c>
      <c r="G49" s="2"/>
      <c r="K49" s="34" t="s">
        <v>124</v>
      </c>
      <c r="L49" s="34" t="s">
        <v>103</v>
      </c>
    </row>
    <row r="50" spans="4:15">
      <c r="D50" s="5" t="s">
        <v>31</v>
      </c>
      <c r="E50" s="6" t="s">
        <v>11</v>
      </c>
      <c r="F50" s="6">
        <v>192</v>
      </c>
      <c r="G50" s="2"/>
      <c r="K50" s="34" t="s">
        <v>101</v>
      </c>
      <c r="L50" t="s">
        <v>29</v>
      </c>
      <c r="M50" t="s">
        <v>30</v>
      </c>
      <c r="N50" t="s">
        <v>31</v>
      </c>
      <c r="O50" t="s">
        <v>102</v>
      </c>
    </row>
    <row r="51" spans="4:15">
      <c r="D51" s="5" t="s">
        <v>29</v>
      </c>
      <c r="E51" s="6" t="s">
        <v>12</v>
      </c>
      <c r="F51" s="6">
        <v>958</v>
      </c>
      <c r="G51" s="2"/>
      <c r="K51" s="35" t="s">
        <v>11</v>
      </c>
      <c r="L51">
        <v>152</v>
      </c>
      <c r="M51">
        <v>285</v>
      </c>
      <c r="N51">
        <v>192</v>
      </c>
      <c r="O51">
        <v>629</v>
      </c>
    </row>
    <row r="52" spans="4:15">
      <c r="D52" s="5" t="s">
        <v>30</v>
      </c>
      <c r="E52" s="6" t="s">
        <v>12</v>
      </c>
      <c r="F52" s="6">
        <v>1943</v>
      </c>
      <c r="G52" s="2"/>
      <c r="K52" s="35" t="s">
        <v>12</v>
      </c>
      <c r="L52">
        <v>958</v>
      </c>
      <c r="M52">
        <v>1943</v>
      </c>
      <c r="N52">
        <v>1272</v>
      </c>
      <c r="O52">
        <v>4173</v>
      </c>
    </row>
    <row r="53" spans="4:15">
      <c r="D53" s="5" t="s">
        <v>31</v>
      </c>
      <c r="E53" s="6" t="s">
        <v>12</v>
      </c>
      <c r="F53" s="6">
        <v>1272</v>
      </c>
      <c r="G53" s="2"/>
      <c r="K53" s="35" t="s">
        <v>13</v>
      </c>
      <c r="L53">
        <v>719</v>
      </c>
      <c r="M53">
        <v>1423</v>
      </c>
      <c r="N53">
        <v>991</v>
      </c>
      <c r="O53">
        <v>3133</v>
      </c>
    </row>
    <row r="54" spans="4:15">
      <c r="D54" s="5" t="s">
        <v>29</v>
      </c>
      <c r="E54" s="6" t="s">
        <v>13</v>
      </c>
      <c r="F54" s="6">
        <v>719</v>
      </c>
      <c r="G54" s="2"/>
      <c r="K54" s="35" t="s">
        <v>14</v>
      </c>
      <c r="L54">
        <v>760</v>
      </c>
      <c r="M54">
        <v>1473</v>
      </c>
      <c r="N54">
        <v>1013</v>
      </c>
      <c r="O54">
        <v>3246</v>
      </c>
    </row>
    <row r="55" spans="4:15">
      <c r="D55" s="5" t="s">
        <v>30</v>
      </c>
      <c r="E55" s="6" t="s">
        <v>13</v>
      </c>
      <c r="F55" s="6">
        <v>1423</v>
      </c>
      <c r="G55" s="2"/>
      <c r="K55" s="35" t="s">
        <v>15</v>
      </c>
      <c r="L55">
        <v>225</v>
      </c>
      <c r="M55">
        <v>423</v>
      </c>
      <c r="N55">
        <v>268</v>
      </c>
      <c r="O55">
        <v>916</v>
      </c>
    </row>
    <row r="56" spans="4:15">
      <c r="D56" s="5" t="s">
        <v>31</v>
      </c>
      <c r="E56" s="6" t="s">
        <v>13</v>
      </c>
      <c r="F56" s="6">
        <v>991</v>
      </c>
      <c r="G56" s="2"/>
      <c r="K56" s="35" t="s">
        <v>102</v>
      </c>
      <c r="L56">
        <v>2814</v>
      </c>
      <c r="M56">
        <v>5547</v>
      </c>
      <c r="N56">
        <v>3736</v>
      </c>
      <c r="O56">
        <v>12097</v>
      </c>
    </row>
    <row r="57" spans="4:15">
      <c r="D57" s="5" t="s">
        <v>29</v>
      </c>
      <c r="E57" s="6" t="s">
        <v>14</v>
      </c>
      <c r="F57" s="6">
        <v>760</v>
      </c>
      <c r="G57" s="2"/>
    </row>
    <row r="58" spans="4:15">
      <c r="D58" s="5" t="s">
        <v>30</v>
      </c>
      <c r="E58" s="6" t="s">
        <v>14</v>
      </c>
      <c r="F58" s="6">
        <v>1473</v>
      </c>
      <c r="G58" s="2"/>
      <c r="K58" s="85"/>
      <c r="L58" s="86" t="s">
        <v>98</v>
      </c>
      <c r="M58" s="86" t="s">
        <v>99</v>
      </c>
      <c r="N58" s="87" t="s">
        <v>100</v>
      </c>
    </row>
    <row r="59" spans="4:15">
      <c r="D59" s="5" t="s">
        <v>31</v>
      </c>
      <c r="E59" s="6" t="s">
        <v>14</v>
      </c>
      <c r="F59" s="6">
        <v>1013</v>
      </c>
      <c r="G59" s="2"/>
      <c r="K59" s="88" t="str">
        <f>K51</f>
        <v>Brunch</v>
      </c>
      <c r="L59" s="39">
        <f>L51</f>
        <v>152</v>
      </c>
      <c r="M59" s="39">
        <f>M51</f>
        <v>285</v>
      </c>
      <c r="N59" s="89">
        <f>N51</f>
        <v>192</v>
      </c>
    </row>
    <row r="60" spans="4:15">
      <c r="D60" s="5" t="s">
        <v>29</v>
      </c>
      <c r="E60" s="6" t="s">
        <v>15</v>
      </c>
      <c r="F60" s="6">
        <v>225</v>
      </c>
      <c r="G60" s="2"/>
      <c r="K60" s="88" t="str">
        <f>K52</f>
        <v>Lunch</v>
      </c>
      <c r="L60" s="39">
        <f>L52</f>
        <v>958</v>
      </c>
      <c r="M60" s="39">
        <f>M52</f>
        <v>1943</v>
      </c>
      <c r="N60" s="89">
        <f>N52</f>
        <v>1272</v>
      </c>
    </row>
    <row r="61" spans="4:15">
      <c r="D61" s="5" t="s">
        <v>30</v>
      </c>
      <c r="E61" s="6" t="s">
        <v>15</v>
      </c>
      <c r="F61" s="6">
        <v>423</v>
      </c>
      <c r="G61" s="2"/>
      <c r="K61" s="88" t="str">
        <f>K53</f>
        <v>Afternoon</v>
      </c>
      <c r="L61" s="39">
        <f>L53</f>
        <v>719</v>
      </c>
      <c r="M61" s="39">
        <f>M53</f>
        <v>1423</v>
      </c>
      <c r="N61" s="89">
        <f>N53</f>
        <v>991</v>
      </c>
    </row>
    <row r="62" spans="4:15">
      <c r="D62" s="5" t="s">
        <v>31</v>
      </c>
      <c r="E62" s="6" t="s">
        <v>15</v>
      </c>
      <c r="F62" s="6">
        <v>268</v>
      </c>
      <c r="G62" s="2"/>
      <c r="K62" s="88" t="str">
        <f>K54</f>
        <v>Dinner</v>
      </c>
      <c r="L62" s="39">
        <f>L54</f>
        <v>760</v>
      </c>
      <c r="M62" s="39">
        <f>M54</f>
        <v>1473</v>
      </c>
      <c r="N62" s="89">
        <f>N54</f>
        <v>1013</v>
      </c>
    </row>
    <row r="63" spans="4:15">
      <c r="K63" s="88" t="str">
        <f>K55</f>
        <v>Late Dinner</v>
      </c>
      <c r="L63" s="39">
        <f>L55</f>
        <v>225</v>
      </c>
      <c r="M63" s="39">
        <f>M55</f>
        <v>423</v>
      </c>
      <c r="N63" s="89">
        <f>N55</f>
        <v>268</v>
      </c>
    </row>
    <row r="64" spans="4:15">
      <c r="D64" s="24"/>
      <c r="E64" s="22"/>
      <c r="F64" s="22"/>
      <c r="K64" s="91"/>
      <c r="L64" s="92"/>
      <c r="M64" s="92"/>
      <c r="N64" s="93"/>
    </row>
    <row r="65" spans="1:15" ht="17" thickBot="1"/>
    <row r="66" spans="1:15" ht="18" thickBot="1">
      <c r="A66" s="30">
        <v>3.6</v>
      </c>
      <c r="B66" s="30" t="s">
        <v>89</v>
      </c>
      <c r="D66" s="12" t="s">
        <v>72</v>
      </c>
      <c r="E66" s="15"/>
      <c r="F66" s="18"/>
    </row>
    <row r="68" spans="1:15">
      <c r="D68" s="7" t="s">
        <v>27</v>
      </c>
      <c r="E68" s="8" t="s">
        <v>0</v>
      </c>
      <c r="F68" s="8" t="s">
        <v>28</v>
      </c>
      <c r="G68" s="1"/>
    </row>
    <row r="69" spans="1:15">
      <c r="D69" s="5" t="s">
        <v>29</v>
      </c>
      <c r="E69" s="6" t="s">
        <v>2</v>
      </c>
      <c r="F69" s="6">
        <v>492</v>
      </c>
      <c r="G69" s="2"/>
      <c r="K69" s="34" t="s">
        <v>124</v>
      </c>
      <c r="L69" s="34" t="s">
        <v>103</v>
      </c>
    </row>
    <row r="70" spans="1:15">
      <c r="D70" s="5" t="s">
        <v>30</v>
      </c>
      <c r="E70" s="6" t="s">
        <v>2</v>
      </c>
      <c r="F70" s="6">
        <v>887</v>
      </c>
      <c r="G70" s="2"/>
      <c r="K70" s="34" t="s">
        <v>101</v>
      </c>
      <c r="L70" t="s">
        <v>29</v>
      </c>
      <c r="M70" t="s">
        <v>30</v>
      </c>
      <c r="N70" t="s">
        <v>31</v>
      </c>
      <c r="O70" t="s">
        <v>102</v>
      </c>
    </row>
    <row r="71" spans="1:15">
      <c r="D71" s="5" t="s">
        <v>31</v>
      </c>
      <c r="E71" s="6" t="s">
        <v>2</v>
      </c>
      <c r="F71" s="6">
        <v>609</v>
      </c>
      <c r="G71" s="2"/>
      <c r="K71" s="35" t="s">
        <v>2</v>
      </c>
      <c r="L71">
        <v>492</v>
      </c>
      <c r="M71">
        <v>887</v>
      </c>
      <c r="N71">
        <v>609</v>
      </c>
      <c r="O71">
        <v>1988</v>
      </c>
    </row>
    <row r="72" spans="1:15">
      <c r="D72" s="5" t="s">
        <v>29</v>
      </c>
      <c r="E72" s="6" t="s">
        <v>3</v>
      </c>
      <c r="F72" s="6">
        <v>392</v>
      </c>
      <c r="G72" s="2"/>
      <c r="K72" s="35" t="s">
        <v>3</v>
      </c>
      <c r="L72">
        <v>392</v>
      </c>
      <c r="M72">
        <v>811</v>
      </c>
      <c r="N72">
        <v>557</v>
      </c>
      <c r="O72">
        <v>1760</v>
      </c>
    </row>
    <row r="73" spans="1:15">
      <c r="D73" s="5" t="s">
        <v>30</v>
      </c>
      <c r="E73" s="6" t="s">
        <v>3</v>
      </c>
      <c r="F73" s="6">
        <v>811</v>
      </c>
      <c r="G73" s="2"/>
      <c r="K73" s="35" t="s">
        <v>4</v>
      </c>
      <c r="L73">
        <v>360</v>
      </c>
      <c r="M73">
        <v>703</v>
      </c>
      <c r="N73">
        <v>459</v>
      </c>
      <c r="O73">
        <v>1522</v>
      </c>
    </row>
    <row r="74" spans="1:15">
      <c r="D74" s="5" t="s">
        <v>31</v>
      </c>
      <c r="E74" s="6" t="s">
        <v>3</v>
      </c>
      <c r="F74" s="6">
        <v>557</v>
      </c>
      <c r="G74" s="2"/>
      <c r="K74" s="35" t="s">
        <v>5</v>
      </c>
      <c r="L74">
        <v>408</v>
      </c>
      <c r="M74">
        <v>747</v>
      </c>
      <c r="N74">
        <v>512</v>
      </c>
      <c r="O74">
        <v>1667</v>
      </c>
    </row>
    <row r="75" spans="1:15">
      <c r="D75" s="5" t="s">
        <v>29</v>
      </c>
      <c r="E75" s="6" t="s">
        <v>4</v>
      </c>
      <c r="F75" s="6">
        <v>360</v>
      </c>
      <c r="G75" s="2"/>
      <c r="K75" s="35" t="s">
        <v>6</v>
      </c>
      <c r="L75">
        <v>418</v>
      </c>
      <c r="M75">
        <v>834</v>
      </c>
      <c r="N75">
        <v>550</v>
      </c>
      <c r="O75">
        <v>1802</v>
      </c>
    </row>
    <row r="76" spans="1:15">
      <c r="D76" s="5" t="s">
        <v>30</v>
      </c>
      <c r="E76" s="6" t="s">
        <v>4</v>
      </c>
      <c r="F76" s="6">
        <v>703</v>
      </c>
      <c r="G76" s="2"/>
      <c r="K76" s="35" t="s">
        <v>7</v>
      </c>
      <c r="L76">
        <v>353</v>
      </c>
      <c r="M76">
        <v>743</v>
      </c>
      <c r="N76">
        <v>503</v>
      </c>
      <c r="O76">
        <v>1599</v>
      </c>
    </row>
    <row r="77" spans="1:15">
      <c r="D77" s="5" t="s">
        <v>31</v>
      </c>
      <c r="E77" s="6" t="s">
        <v>4</v>
      </c>
      <c r="F77" s="6">
        <v>459</v>
      </c>
      <c r="G77" s="2"/>
      <c r="K77" s="35" t="s">
        <v>8</v>
      </c>
      <c r="L77">
        <v>391</v>
      </c>
      <c r="M77">
        <v>822</v>
      </c>
      <c r="N77">
        <v>546</v>
      </c>
      <c r="O77">
        <v>1759</v>
      </c>
    </row>
    <row r="78" spans="1:15">
      <c r="D78" s="5" t="s">
        <v>29</v>
      </c>
      <c r="E78" s="6" t="s">
        <v>5</v>
      </c>
      <c r="F78" s="6">
        <v>408</v>
      </c>
      <c r="G78" s="2"/>
      <c r="K78" s="35" t="s">
        <v>102</v>
      </c>
      <c r="L78">
        <v>2814</v>
      </c>
      <c r="M78">
        <v>5547</v>
      </c>
      <c r="N78">
        <v>3736</v>
      </c>
      <c r="O78">
        <v>12097</v>
      </c>
    </row>
    <row r="79" spans="1:15">
      <c r="D79" s="5" t="s">
        <v>30</v>
      </c>
      <c r="E79" s="6" t="s">
        <v>5</v>
      </c>
      <c r="F79" s="6">
        <v>747</v>
      </c>
      <c r="G79" s="2"/>
    </row>
    <row r="80" spans="1:15">
      <c r="D80" s="5" t="s">
        <v>31</v>
      </c>
      <c r="E80" s="6" t="s">
        <v>5</v>
      </c>
      <c r="F80" s="6">
        <v>512</v>
      </c>
      <c r="G80" s="2"/>
      <c r="K80" s="90"/>
      <c r="L80" s="86" t="s">
        <v>98</v>
      </c>
      <c r="M80" s="86" t="s">
        <v>99</v>
      </c>
      <c r="N80" s="87" t="s">
        <v>100</v>
      </c>
    </row>
    <row r="81" spans="1:16">
      <c r="D81" s="5" t="s">
        <v>29</v>
      </c>
      <c r="E81" s="6" t="s">
        <v>6</v>
      </c>
      <c r="F81" s="6">
        <v>418</v>
      </c>
      <c r="G81" s="2"/>
      <c r="K81" s="88" t="str">
        <f>K71</f>
        <v>Monday</v>
      </c>
      <c r="L81" s="39">
        <f>L71</f>
        <v>492</v>
      </c>
      <c r="M81" s="39">
        <f>M71</f>
        <v>887</v>
      </c>
      <c r="N81" s="89">
        <f>N71</f>
        <v>609</v>
      </c>
    </row>
    <row r="82" spans="1:16">
      <c r="D82" s="5" t="s">
        <v>30</v>
      </c>
      <c r="E82" s="6" t="s">
        <v>6</v>
      </c>
      <c r="F82" s="6">
        <v>834</v>
      </c>
      <c r="G82" s="2"/>
      <c r="K82" s="88" t="str">
        <f>K72</f>
        <v>Tuesday</v>
      </c>
      <c r="L82" s="39">
        <f>L72</f>
        <v>392</v>
      </c>
      <c r="M82" s="39">
        <f>M72</f>
        <v>811</v>
      </c>
      <c r="N82" s="89">
        <f>N72</f>
        <v>557</v>
      </c>
    </row>
    <row r="83" spans="1:16">
      <c r="D83" s="5" t="s">
        <v>31</v>
      </c>
      <c r="E83" s="6" t="s">
        <v>6</v>
      </c>
      <c r="F83" s="6">
        <v>550</v>
      </c>
      <c r="G83" s="2"/>
      <c r="K83" s="88" t="str">
        <f>K73</f>
        <v>Wednesday</v>
      </c>
      <c r="L83" s="39">
        <f>L73</f>
        <v>360</v>
      </c>
      <c r="M83" s="39">
        <f>M73</f>
        <v>703</v>
      </c>
      <c r="N83" s="89">
        <f>N73</f>
        <v>459</v>
      </c>
    </row>
    <row r="84" spans="1:16">
      <c r="D84" s="5" t="s">
        <v>29</v>
      </c>
      <c r="E84" s="6" t="s">
        <v>7</v>
      </c>
      <c r="F84" s="6">
        <v>353</v>
      </c>
      <c r="G84" s="2"/>
      <c r="K84" s="88" t="str">
        <f>K74</f>
        <v>Thursday</v>
      </c>
      <c r="L84" s="39">
        <f>L74</f>
        <v>408</v>
      </c>
      <c r="M84" s="39">
        <f>M74</f>
        <v>747</v>
      </c>
      <c r="N84" s="89">
        <f>N74</f>
        <v>512</v>
      </c>
    </row>
    <row r="85" spans="1:16">
      <c r="D85" s="5" t="s">
        <v>30</v>
      </c>
      <c r="E85" s="6" t="s">
        <v>7</v>
      </c>
      <c r="F85" s="6">
        <v>743</v>
      </c>
      <c r="G85" s="2"/>
      <c r="K85" s="88" t="str">
        <f>K75</f>
        <v>Friday</v>
      </c>
      <c r="L85" s="39">
        <f>L75</f>
        <v>418</v>
      </c>
      <c r="M85" s="39">
        <f>M75</f>
        <v>834</v>
      </c>
      <c r="N85" s="89">
        <f>N75</f>
        <v>550</v>
      </c>
    </row>
    <row r="86" spans="1:16">
      <c r="D86" s="5" t="s">
        <v>31</v>
      </c>
      <c r="E86" s="6" t="s">
        <v>7</v>
      </c>
      <c r="F86" s="6">
        <v>503</v>
      </c>
      <c r="G86" s="2"/>
      <c r="K86" s="88" t="str">
        <f>K76</f>
        <v>Saturday</v>
      </c>
      <c r="L86" s="39">
        <f>L76</f>
        <v>353</v>
      </c>
      <c r="M86" s="39">
        <f>M76</f>
        <v>743</v>
      </c>
      <c r="N86" s="89">
        <f>N76</f>
        <v>503</v>
      </c>
    </row>
    <row r="87" spans="1:16">
      <c r="D87" s="5" t="s">
        <v>29</v>
      </c>
      <c r="E87" s="6" t="s">
        <v>8</v>
      </c>
      <c r="F87" s="6">
        <v>391</v>
      </c>
      <c r="G87" s="2"/>
      <c r="K87" s="88" t="str">
        <f>K77</f>
        <v>Sunday</v>
      </c>
      <c r="L87" s="39">
        <f>L77</f>
        <v>391</v>
      </c>
      <c r="M87" s="39">
        <f>M77</f>
        <v>822</v>
      </c>
      <c r="N87" s="89">
        <f>N77</f>
        <v>546</v>
      </c>
    </row>
    <row r="88" spans="1:16">
      <c r="D88" s="5" t="s">
        <v>30</v>
      </c>
      <c r="E88" s="6" t="s">
        <v>8</v>
      </c>
      <c r="F88" s="6">
        <v>822</v>
      </c>
      <c r="G88" s="2"/>
      <c r="K88" s="91"/>
      <c r="L88" s="92"/>
      <c r="M88" s="92"/>
      <c r="N88" s="93"/>
    </row>
    <row r="89" spans="1:16">
      <c r="D89" s="5" t="s">
        <v>31</v>
      </c>
      <c r="E89" s="6" t="s">
        <v>8</v>
      </c>
      <c r="F89" s="6">
        <v>546</v>
      </c>
      <c r="G89" s="2"/>
    </row>
    <row r="92" spans="1:16" ht="17" thickBot="1"/>
    <row r="93" spans="1:16" ht="18" thickBot="1">
      <c r="A93" s="27">
        <v>3.7</v>
      </c>
      <c r="B93" s="31" t="s">
        <v>88</v>
      </c>
      <c r="D93" s="12" t="s">
        <v>78</v>
      </c>
      <c r="E93" s="15"/>
      <c r="F93" s="12"/>
      <c r="G93" s="15"/>
      <c r="H93" s="18"/>
      <c r="I93" s="18"/>
    </row>
    <row r="94" spans="1:16" ht="27" customHeight="1">
      <c r="K94" s="81" t="s">
        <v>141</v>
      </c>
      <c r="L94" s="82"/>
      <c r="M94" s="82"/>
      <c r="N94" s="82"/>
      <c r="O94" s="83"/>
    </row>
    <row r="95" spans="1:16" ht="27" customHeight="1">
      <c r="D95" s="7" t="s">
        <v>19</v>
      </c>
      <c r="E95" s="8" t="s">
        <v>20</v>
      </c>
      <c r="F95" s="8" t="s">
        <v>21</v>
      </c>
      <c r="G95" s="8" t="s">
        <v>64</v>
      </c>
      <c r="H95" s="8" t="s">
        <v>33</v>
      </c>
      <c r="I95" s="25" t="s">
        <v>139</v>
      </c>
      <c r="K95" s="80" t="s">
        <v>140</v>
      </c>
      <c r="L95" s="68"/>
      <c r="M95" s="68"/>
      <c r="N95" s="68"/>
      <c r="O95" s="84"/>
    </row>
    <row r="96" spans="1:16">
      <c r="C96">
        <v>4</v>
      </c>
      <c r="D96" s="5" t="s">
        <v>49</v>
      </c>
      <c r="E96" s="6" t="s">
        <v>65</v>
      </c>
      <c r="F96" s="6">
        <v>13.95</v>
      </c>
      <c r="G96" s="6">
        <v>583</v>
      </c>
      <c r="H96" s="65">
        <v>8132.85</v>
      </c>
      <c r="I96" s="63">
        <f>H96/SUMIF($E$96:$E$127,E96,$H$96:$H$127)</f>
        <v>0.2880133863356677</v>
      </c>
      <c r="K96" s="69" t="str">
        <f>D96</f>
        <v>Cheeseburger</v>
      </c>
      <c r="L96" s="70" t="str">
        <f>REPT("–",200*I96)&amp;"● "&amp;ROUND(I96*100,0) &amp; "%"</f>
        <v>–––––––––––––––––––––––––––––––––––––––––––––––––––––––––● 29%</v>
      </c>
      <c r="M96" s="71"/>
      <c r="N96" s="71"/>
      <c r="O96" s="72"/>
      <c r="P96" s="62"/>
    </row>
    <row r="97" spans="3:16">
      <c r="C97">
        <v>1</v>
      </c>
      <c r="D97" s="5" t="s">
        <v>46</v>
      </c>
      <c r="E97" s="6" t="s">
        <v>65</v>
      </c>
      <c r="F97" s="6">
        <v>12.95</v>
      </c>
      <c r="G97" s="6">
        <v>622</v>
      </c>
      <c r="H97" s="65">
        <v>8054.9</v>
      </c>
      <c r="I97" s="63">
        <f t="shared" ref="I97:I127" si="2">H97/SUMIF($E$96:$E$127,E97,$H$96:$H$127)</f>
        <v>0.28525289727403919</v>
      </c>
      <c r="K97" s="69" t="str">
        <f t="shared" ref="K97:K127" si="3">D97</f>
        <v>Hamburger</v>
      </c>
      <c r="L97" s="70" t="str">
        <f t="shared" ref="L97:L127" si="4">REPT("–",200*I97)&amp;"● "&amp;ROUND(I97*100,0) &amp; "%"</f>
        <v>–––––––––––––––––––––––––––––––––––––––––––––––––––––––––● 29%</v>
      </c>
      <c r="M97" s="71"/>
      <c r="N97" s="71"/>
      <c r="O97" s="72"/>
      <c r="P97" s="62"/>
    </row>
    <row r="98" spans="3:16">
      <c r="C98">
        <v>5</v>
      </c>
      <c r="D98" s="5" t="s">
        <v>36</v>
      </c>
      <c r="E98" s="6" t="s">
        <v>65</v>
      </c>
      <c r="F98" s="6">
        <v>7</v>
      </c>
      <c r="G98" s="6">
        <v>571</v>
      </c>
      <c r="H98" s="65">
        <v>3997</v>
      </c>
      <c r="I98" s="63">
        <f t="shared" si="2"/>
        <v>0.14154810493045658</v>
      </c>
      <c r="K98" s="69" t="str">
        <f t="shared" si="3"/>
        <v>French Fries</v>
      </c>
      <c r="L98" s="70" t="str">
        <f t="shared" si="4"/>
        <v>––––––––––––––––––––––––––––● 14%</v>
      </c>
      <c r="M98" s="71"/>
      <c r="N98" s="71"/>
      <c r="O98" s="72"/>
      <c r="P98" s="62"/>
    </row>
    <row r="99" spans="3:16">
      <c r="C99">
        <v>9</v>
      </c>
      <c r="D99" s="5" t="s">
        <v>35</v>
      </c>
      <c r="E99" s="6" t="s">
        <v>65</v>
      </c>
      <c r="F99" s="6">
        <v>7</v>
      </c>
      <c r="G99" s="6">
        <v>463</v>
      </c>
      <c r="H99" s="65">
        <v>3241</v>
      </c>
      <c r="I99" s="63">
        <f t="shared" si="2"/>
        <v>0.11477543359509876</v>
      </c>
      <c r="K99" s="69" t="str">
        <f t="shared" si="3"/>
        <v>Mac &amp; Cheese</v>
      </c>
      <c r="L99" s="70" t="str">
        <f t="shared" si="4"/>
        <v>––––––––––––––––––––––● 11%</v>
      </c>
      <c r="M99" s="71"/>
      <c r="N99" s="71"/>
      <c r="O99" s="72"/>
      <c r="P99" s="62"/>
    </row>
    <row r="100" spans="3:16">
      <c r="C100">
        <v>26</v>
      </c>
      <c r="D100" s="5" t="s">
        <v>40</v>
      </c>
      <c r="E100" s="6" t="s">
        <v>65</v>
      </c>
      <c r="F100" s="6">
        <v>10.5</v>
      </c>
      <c r="G100" s="6">
        <v>238</v>
      </c>
      <c r="H100" s="65">
        <v>2499</v>
      </c>
      <c r="I100" s="63">
        <f t="shared" si="2"/>
        <v>8.849855246965499E-2</v>
      </c>
      <c r="K100" s="69" t="str">
        <f t="shared" si="3"/>
        <v>Veggie Burger</v>
      </c>
      <c r="L100" s="70" t="str">
        <f t="shared" si="4"/>
        <v>–––––––––––––––––● 9%</v>
      </c>
      <c r="M100" s="71"/>
      <c r="N100" s="71"/>
      <c r="O100" s="72"/>
      <c r="P100" s="62"/>
    </row>
    <row r="101" spans="3:16">
      <c r="C101">
        <v>23</v>
      </c>
      <c r="D101" s="5" t="s">
        <v>38</v>
      </c>
      <c r="E101" s="6" t="s">
        <v>65</v>
      </c>
      <c r="F101" s="6">
        <v>9</v>
      </c>
      <c r="G101" s="6">
        <v>257</v>
      </c>
      <c r="H101" s="65">
        <v>2313</v>
      </c>
      <c r="I101" s="63">
        <f t="shared" si="2"/>
        <v>8.1911625395082829E-2</v>
      </c>
      <c r="K101" s="69" t="str">
        <f t="shared" si="3"/>
        <v>Hot Dog</v>
      </c>
      <c r="L101" s="70" t="str">
        <f t="shared" si="4"/>
        <v>––––––––––––––––● 8%</v>
      </c>
      <c r="M101" s="71"/>
      <c r="N101" s="71"/>
      <c r="O101" s="72"/>
      <c r="P101" s="62"/>
    </row>
    <row r="102" spans="3:16">
      <c r="C102">
        <v>3</v>
      </c>
      <c r="D102" s="5" t="s">
        <v>60</v>
      </c>
      <c r="E102" s="6" t="s">
        <v>23</v>
      </c>
      <c r="F102" s="6">
        <v>17.95</v>
      </c>
      <c r="G102" s="6">
        <v>588</v>
      </c>
      <c r="H102" s="65">
        <v>10554.6</v>
      </c>
      <c r="I102" s="63">
        <f t="shared" si="2"/>
        <v>0.22590867207540991</v>
      </c>
      <c r="K102" s="73" t="str">
        <f t="shared" si="3"/>
        <v>Korean Beef Bowl</v>
      </c>
      <c r="L102" s="70" t="str">
        <f t="shared" si="4"/>
        <v>–––––––––––––––––––––––––––––––––––––––––––––● 23%</v>
      </c>
      <c r="M102" s="71"/>
      <c r="N102" s="71"/>
      <c r="O102" s="72"/>
      <c r="P102" s="62"/>
    </row>
    <row r="103" spans="3:16">
      <c r="C103">
        <v>6</v>
      </c>
      <c r="D103" s="5" t="s">
        <v>50</v>
      </c>
      <c r="E103" s="6" t="s">
        <v>23</v>
      </c>
      <c r="F103" s="6">
        <v>14.5</v>
      </c>
      <c r="G103" s="6">
        <v>562</v>
      </c>
      <c r="H103" s="65">
        <v>8149</v>
      </c>
      <c r="I103" s="63">
        <f t="shared" si="2"/>
        <v>0.17441966239767639</v>
      </c>
      <c r="K103" s="73" t="str">
        <f t="shared" si="3"/>
        <v>Tofu Pad Thai</v>
      </c>
      <c r="L103" s="70" t="str">
        <f t="shared" si="4"/>
        <v>––––––––––––––––––––––––––––––––––● 17%</v>
      </c>
      <c r="M103" s="71"/>
      <c r="N103" s="71"/>
      <c r="O103" s="72"/>
      <c r="P103" s="62"/>
    </row>
    <row r="104" spans="3:16">
      <c r="C104">
        <v>11</v>
      </c>
      <c r="D104" s="5" t="s">
        <v>57</v>
      </c>
      <c r="E104" s="6" t="s">
        <v>23</v>
      </c>
      <c r="F104" s="6">
        <v>16.5</v>
      </c>
      <c r="G104" s="6">
        <v>456</v>
      </c>
      <c r="H104" s="65">
        <v>7524</v>
      </c>
      <c r="I104" s="63">
        <f t="shared" si="2"/>
        <v>0.16104228001964868</v>
      </c>
      <c r="K104" s="73" t="str">
        <f t="shared" si="3"/>
        <v>Orange Chicken</v>
      </c>
      <c r="L104" s="70" t="str">
        <f t="shared" si="4"/>
        <v>––––––––––––––––––––––––––––––––● 16%</v>
      </c>
      <c r="M104" s="71"/>
      <c r="N104" s="71"/>
      <c r="O104" s="72"/>
      <c r="P104" s="62"/>
    </row>
    <row r="105" spans="3:16">
      <c r="C105">
        <v>17</v>
      </c>
      <c r="D105" s="5" t="s">
        <v>59</v>
      </c>
      <c r="E105" s="6" t="s">
        <v>23</v>
      </c>
      <c r="F105" s="6">
        <v>17.95</v>
      </c>
      <c r="G105" s="6">
        <v>360</v>
      </c>
      <c r="H105" s="65">
        <v>6462</v>
      </c>
      <c r="I105" s="63">
        <f t="shared" si="2"/>
        <v>0.13831143188290401</v>
      </c>
      <c r="K105" s="73" t="str">
        <f t="shared" si="3"/>
        <v>Pork Ramen</v>
      </c>
      <c r="L105" s="70" t="str">
        <f t="shared" si="4"/>
        <v>–––––––––––––––––––––––––––● 14%</v>
      </c>
      <c r="M105" s="71"/>
      <c r="N105" s="71"/>
      <c r="O105" s="72"/>
      <c r="P105" s="62"/>
    </row>
    <row r="106" spans="3:16">
      <c r="C106">
        <v>21</v>
      </c>
      <c r="D106" s="5" t="s">
        <v>53</v>
      </c>
      <c r="E106" s="6" t="s">
        <v>23</v>
      </c>
      <c r="F106" s="6">
        <v>14.95</v>
      </c>
      <c r="G106" s="6">
        <v>324</v>
      </c>
      <c r="H106" s="65">
        <v>4843.8</v>
      </c>
      <c r="I106" s="63">
        <f t="shared" si="2"/>
        <v>0.10367578362030494</v>
      </c>
      <c r="K106" s="73" t="str">
        <f t="shared" si="3"/>
        <v>Salmon Roll</v>
      </c>
      <c r="L106" s="70" t="str">
        <f t="shared" si="4"/>
        <v>––––––––––––––––––––● 10%</v>
      </c>
      <c r="M106" s="71"/>
      <c r="N106" s="71"/>
      <c r="O106" s="72"/>
      <c r="P106" s="62"/>
    </row>
    <row r="107" spans="3:16">
      <c r="C107">
        <v>19</v>
      </c>
      <c r="D107" s="5" t="s">
        <v>44</v>
      </c>
      <c r="E107" s="6" t="s">
        <v>23</v>
      </c>
      <c r="F107" s="6">
        <v>11.95</v>
      </c>
      <c r="G107" s="6">
        <v>355</v>
      </c>
      <c r="H107" s="65">
        <v>4242.25</v>
      </c>
      <c r="I107" s="63">
        <f t="shared" si="2"/>
        <v>9.0800320629100831E-2</v>
      </c>
      <c r="K107" s="73" t="str">
        <f t="shared" si="3"/>
        <v>California Roll</v>
      </c>
      <c r="L107" s="70" t="str">
        <f t="shared" si="4"/>
        <v>––––––––––––––––––● 9%</v>
      </c>
      <c r="M107" s="71"/>
      <c r="N107" s="71"/>
      <c r="O107" s="72"/>
      <c r="P107" s="62"/>
    </row>
    <row r="108" spans="3:16">
      <c r="C108">
        <v>2</v>
      </c>
      <c r="D108" s="5" t="s">
        <v>22</v>
      </c>
      <c r="E108" s="6" t="s">
        <v>23</v>
      </c>
      <c r="F108" s="6">
        <v>5</v>
      </c>
      <c r="G108" s="6">
        <v>620</v>
      </c>
      <c r="H108" s="65">
        <v>3100</v>
      </c>
      <c r="I108" s="63">
        <f t="shared" si="2"/>
        <v>6.6351816595017404E-2</v>
      </c>
      <c r="K108" s="73" t="str">
        <f t="shared" si="3"/>
        <v>Edamame</v>
      </c>
      <c r="L108" s="70" t="str">
        <f t="shared" si="4"/>
        <v>–––––––––––––● 7%</v>
      </c>
      <c r="M108" s="71"/>
      <c r="N108" s="71"/>
      <c r="O108" s="72"/>
      <c r="P108" s="62"/>
    </row>
    <row r="109" spans="3:16">
      <c r="C109">
        <v>31</v>
      </c>
      <c r="D109" s="5" t="s">
        <v>39</v>
      </c>
      <c r="E109" s="6" t="s">
        <v>23</v>
      </c>
      <c r="F109" s="6">
        <v>9</v>
      </c>
      <c r="G109" s="6">
        <v>205</v>
      </c>
      <c r="H109" s="65">
        <v>1845</v>
      </c>
      <c r="I109" s="63">
        <f t="shared" si="2"/>
        <v>3.9490032779937775E-2</v>
      </c>
      <c r="K109" s="73" t="str">
        <f t="shared" si="3"/>
        <v>Potstickers</v>
      </c>
      <c r="L109" s="70" t="str">
        <f t="shared" si="4"/>
        <v>–––––––● 4%</v>
      </c>
      <c r="M109" s="71"/>
      <c r="N109" s="71"/>
      <c r="O109" s="72"/>
      <c r="P109" s="62"/>
    </row>
    <row r="110" spans="3:16">
      <c r="C110">
        <v>8</v>
      </c>
      <c r="D110" s="5" t="s">
        <v>61</v>
      </c>
      <c r="E110" s="6" t="s">
        <v>25</v>
      </c>
      <c r="F110" s="6">
        <v>17.95</v>
      </c>
      <c r="G110" s="6">
        <v>470</v>
      </c>
      <c r="H110" s="65">
        <v>8436.5</v>
      </c>
      <c r="I110" s="63">
        <f t="shared" si="2"/>
        <v>0.17056286858582323</v>
      </c>
      <c r="K110" s="74" t="str">
        <f t="shared" si="3"/>
        <v>Spaghetti &amp; Meatballs</v>
      </c>
      <c r="L110" s="70" t="str">
        <f t="shared" si="4"/>
        <v>––––––––––––––––––––––––––––––––––● 17%</v>
      </c>
      <c r="M110" s="71"/>
      <c r="N110" s="71"/>
      <c r="O110" s="72"/>
      <c r="P110" s="61"/>
    </row>
    <row r="111" spans="3:16">
      <c r="C111">
        <v>13</v>
      </c>
      <c r="D111" s="5" t="s">
        <v>58</v>
      </c>
      <c r="E111" s="6" t="s">
        <v>25</v>
      </c>
      <c r="F111" s="6">
        <v>16.95</v>
      </c>
      <c r="G111" s="6">
        <v>420</v>
      </c>
      <c r="H111" s="65">
        <v>7119</v>
      </c>
      <c r="I111" s="63">
        <f t="shared" si="2"/>
        <v>0.14392663562644173</v>
      </c>
      <c r="K111" s="74" t="str">
        <f t="shared" si="3"/>
        <v>Eggplant Parmesan</v>
      </c>
      <c r="L111" s="70" t="str">
        <f t="shared" si="4"/>
        <v>––––––––––––––––––––––––––––● 14%</v>
      </c>
      <c r="M111" s="71"/>
      <c r="N111" s="71"/>
      <c r="O111" s="72"/>
      <c r="P111" s="61"/>
    </row>
    <row r="112" spans="3:16">
      <c r="C112">
        <v>16</v>
      </c>
      <c r="D112" s="5" t="s">
        <v>63</v>
      </c>
      <c r="E112" s="6" t="s">
        <v>25</v>
      </c>
      <c r="F112" s="6">
        <v>17.95</v>
      </c>
      <c r="G112" s="6">
        <v>364</v>
      </c>
      <c r="H112" s="65">
        <v>6533.8</v>
      </c>
      <c r="I112" s="63">
        <f t="shared" si="2"/>
        <v>0.13209549822391417</v>
      </c>
      <c r="K112" s="74" t="str">
        <f t="shared" si="3"/>
        <v>Chicken Parmesan</v>
      </c>
      <c r="L112" s="70" t="str">
        <f t="shared" si="4"/>
        <v>––––––––––––––––––––––––––● 13%</v>
      </c>
      <c r="M112" s="71"/>
      <c r="N112" s="71"/>
      <c r="O112" s="72"/>
      <c r="P112" s="61"/>
    </row>
    <row r="113" spans="3:17">
      <c r="C113">
        <v>18</v>
      </c>
      <c r="D113" s="5" t="s">
        <v>56</v>
      </c>
      <c r="E113" s="6" t="s">
        <v>25</v>
      </c>
      <c r="F113" s="6">
        <v>15.5</v>
      </c>
      <c r="G113" s="6">
        <v>359</v>
      </c>
      <c r="H113" s="65">
        <v>5564.5</v>
      </c>
      <c r="I113" s="63">
        <f t="shared" si="2"/>
        <v>0.11249891332256426</v>
      </c>
      <c r="K113" s="74" t="str">
        <f t="shared" si="3"/>
        <v>Mushroom Ravioli</v>
      </c>
      <c r="L113" s="70" t="str">
        <f t="shared" si="4"/>
        <v>––––––––––––––––––––––● 11%</v>
      </c>
      <c r="M113" s="71"/>
      <c r="N113" s="71"/>
      <c r="O113" s="72"/>
      <c r="P113" s="61"/>
    </row>
    <row r="114" spans="3:17">
      <c r="C114">
        <v>15</v>
      </c>
      <c r="D114" s="5" t="s">
        <v>51</v>
      </c>
      <c r="E114" s="6" t="s">
        <v>25</v>
      </c>
      <c r="F114" s="6">
        <v>14.5</v>
      </c>
      <c r="G114" s="6">
        <v>367</v>
      </c>
      <c r="H114" s="65">
        <v>5321.5</v>
      </c>
      <c r="I114" s="63">
        <f t="shared" si="2"/>
        <v>0.10758612045035955</v>
      </c>
      <c r="K114" s="74" t="str">
        <f t="shared" si="3"/>
        <v>Spaghetti</v>
      </c>
      <c r="L114" s="70" t="str">
        <f t="shared" si="4"/>
        <v>–––––––––––––––––––––● 11%</v>
      </c>
      <c r="M114" s="71"/>
      <c r="N114" s="71"/>
      <c r="O114" s="72"/>
      <c r="P114" s="61"/>
    </row>
    <row r="115" spans="3:17">
      <c r="C115">
        <v>22</v>
      </c>
      <c r="D115" s="5" t="s">
        <v>62</v>
      </c>
      <c r="E115" s="6" t="s">
        <v>25</v>
      </c>
      <c r="F115" s="6">
        <v>17.95</v>
      </c>
      <c r="G115" s="6">
        <v>273</v>
      </c>
      <c r="H115" s="65">
        <v>4900.3500000000004</v>
      </c>
      <c r="I115" s="63">
        <f t="shared" si="2"/>
        <v>9.9071623667935635E-2</v>
      </c>
      <c r="K115" s="74" t="str">
        <f t="shared" si="3"/>
        <v>Meat Lasagna</v>
      </c>
      <c r="L115" s="70" t="str">
        <f t="shared" si="4"/>
        <v>–––––––––––––––––––● 10%</v>
      </c>
      <c r="M115" s="71"/>
      <c r="N115" s="71"/>
      <c r="O115" s="72"/>
      <c r="P115" s="61"/>
    </row>
    <row r="116" spans="3:17">
      <c r="C116">
        <v>25</v>
      </c>
      <c r="D116" s="5" t="s">
        <v>24</v>
      </c>
      <c r="E116" s="6" t="s">
        <v>25</v>
      </c>
      <c r="F116" s="6">
        <v>19.95</v>
      </c>
      <c r="G116" s="6">
        <v>239</v>
      </c>
      <c r="H116" s="65">
        <v>4768.05</v>
      </c>
      <c r="I116" s="63">
        <f t="shared" si="2"/>
        <v>9.6396880881957511E-2</v>
      </c>
      <c r="K116" s="74" t="str">
        <f t="shared" si="3"/>
        <v>Shrimp Scampi</v>
      </c>
      <c r="L116" s="70" t="str">
        <f t="shared" si="4"/>
        <v>–––––––––––––––––––● 10%</v>
      </c>
      <c r="M116" s="71"/>
      <c r="N116" s="71"/>
      <c r="O116" s="72"/>
      <c r="P116" s="61"/>
    </row>
    <row r="117" spans="3:17">
      <c r="C117">
        <v>24</v>
      </c>
      <c r="D117" s="5" t="s">
        <v>52</v>
      </c>
      <c r="E117" s="6" t="s">
        <v>25</v>
      </c>
      <c r="F117" s="6">
        <v>14.5</v>
      </c>
      <c r="G117" s="6">
        <v>249</v>
      </c>
      <c r="H117" s="65">
        <v>3610.5</v>
      </c>
      <c r="I117" s="63">
        <f t="shared" si="2"/>
        <v>7.2994397798745309E-2</v>
      </c>
      <c r="K117" s="74" t="str">
        <f t="shared" si="3"/>
        <v>Fettuccine Alfredo</v>
      </c>
      <c r="L117" s="70" t="str">
        <f t="shared" si="4"/>
        <v>––––––––––––––● 7%</v>
      </c>
      <c r="M117" s="71"/>
      <c r="N117" s="71"/>
      <c r="O117" s="72"/>
      <c r="P117" s="61"/>
    </row>
    <row r="118" spans="3:17">
      <c r="C118">
        <v>30</v>
      </c>
      <c r="D118" s="5" t="s">
        <v>55</v>
      </c>
      <c r="E118" s="6" t="s">
        <v>25</v>
      </c>
      <c r="F118" s="6">
        <v>15.5</v>
      </c>
      <c r="G118" s="6">
        <v>207</v>
      </c>
      <c r="H118" s="65">
        <v>3208.5</v>
      </c>
      <c r="I118" s="63">
        <f t="shared" si="2"/>
        <v>6.4867061442258497E-2</v>
      </c>
      <c r="K118" s="74" t="str">
        <f t="shared" si="3"/>
        <v>Cheese Lasagna</v>
      </c>
      <c r="L118" s="70" t="str">
        <f t="shared" si="4"/>
        <v>––––––––––––● 6%</v>
      </c>
      <c r="M118" s="71"/>
      <c r="N118" s="71"/>
      <c r="O118" s="72"/>
      <c r="P118" s="61"/>
    </row>
    <row r="119" spans="3:17">
      <c r="C119">
        <v>7</v>
      </c>
      <c r="D119" s="5" t="s">
        <v>48</v>
      </c>
      <c r="E119" s="6" t="s">
        <v>66</v>
      </c>
      <c r="F119" s="6">
        <v>13.95</v>
      </c>
      <c r="G119" s="6">
        <v>489</v>
      </c>
      <c r="H119" s="65">
        <v>6821.55</v>
      </c>
      <c r="I119" s="63">
        <f t="shared" si="2"/>
        <v>0.1960395783520324</v>
      </c>
      <c r="K119" s="75" t="str">
        <f t="shared" si="3"/>
        <v>Steak Torta</v>
      </c>
      <c r="L119" s="70" t="str">
        <f t="shared" si="4"/>
        <v>–––––––––––––––––––––––––––––––––––––––● 20%</v>
      </c>
      <c r="M119" s="71"/>
      <c r="N119" s="71"/>
      <c r="O119" s="72"/>
      <c r="P119" s="61"/>
    </row>
    <row r="120" spans="3:17">
      <c r="C120">
        <v>12</v>
      </c>
      <c r="D120" s="5" t="s">
        <v>45</v>
      </c>
      <c r="E120" s="6" t="s">
        <v>66</v>
      </c>
      <c r="F120" s="6">
        <v>12.95</v>
      </c>
      <c r="G120" s="6">
        <v>455</v>
      </c>
      <c r="H120" s="65">
        <v>5892.25</v>
      </c>
      <c r="I120" s="63">
        <f t="shared" si="2"/>
        <v>0.16933309959536511</v>
      </c>
      <c r="K120" s="75" t="str">
        <f t="shared" si="3"/>
        <v>Chicken Burrito</v>
      </c>
      <c r="L120" s="70" t="str">
        <f t="shared" si="4"/>
        <v>–––––––––––––––––––––––––––––––––● 17%</v>
      </c>
      <c r="M120" s="71"/>
      <c r="N120" s="71"/>
      <c r="O120" s="72"/>
      <c r="P120" s="61"/>
    </row>
    <row r="121" spans="3:17">
      <c r="C121">
        <v>20</v>
      </c>
      <c r="D121" s="5" t="s">
        <v>54</v>
      </c>
      <c r="E121" s="6" t="s">
        <v>66</v>
      </c>
      <c r="F121" s="6">
        <v>14.95</v>
      </c>
      <c r="G121" s="6">
        <v>354</v>
      </c>
      <c r="H121" s="65">
        <v>5292.3</v>
      </c>
      <c r="I121" s="63">
        <f t="shared" si="2"/>
        <v>0.15209157163877141</v>
      </c>
      <c r="K121" s="75" t="str">
        <f t="shared" si="3"/>
        <v>Steak Burrito</v>
      </c>
      <c r="L121" s="70" t="str">
        <f t="shared" si="4"/>
        <v>––––––––––––––––––––––––––––––● 15%</v>
      </c>
      <c r="M121" s="71"/>
      <c r="N121" s="71"/>
      <c r="O121" s="72"/>
      <c r="P121" s="61"/>
    </row>
    <row r="122" spans="3:17">
      <c r="C122">
        <v>14</v>
      </c>
      <c r="D122" s="5" t="s">
        <v>42</v>
      </c>
      <c r="E122" s="6" t="s">
        <v>66</v>
      </c>
      <c r="F122" s="6">
        <v>11.95</v>
      </c>
      <c r="G122" s="6">
        <v>379</v>
      </c>
      <c r="H122" s="65">
        <v>4529.05</v>
      </c>
      <c r="I122" s="63">
        <f t="shared" si="2"/>
        <v>0.13015708340996876</v>
      </c>
      <c r="K122" s="75" t="str">
        <f t="shared" si="3"/>
        <v>Chicken Torta</v>
      </c>
      <c r="L122" s="70" t="str">
        <f t="shared" si="4"/>
        <v>––––––––––––––––––––––––––● 13%</v>
      </c>
      <c r="M122" s="71"/>
      <c r="N122" s="71"/>
      <c r="O122" s="72"/>
      <c r="P122" s="61"/>
    </row>
    <row r="123" spans="3:17">
      <c r="C123">
        <v>10</v>
      </c>
      <c r="D123" s="5" t="s">
        <v>34</v>
      </c>
      <c r="E123" s="6" t="s">
        <v>66</v>
      </c>
      <c r="F123" s="6">
        <v>7</v>
      </c>
      <c r="G123" s="6">
        <v>461</v>
      </c>
      <c r="H123" s="65">
        <v>3227</v>
      </c>
      <c r="I123" s="63">
        <f t="shared" si="2"/>
        <v>9.2738412727607147E-2</v>
      </c>
      <c r="K123" s="75" t="str">
        <f t="shared" si="3"/>
        <v>Chips &amp; Salsa</v>
      </c>
      <c r="L123" s="70" t="str">
        <f t="shared" si="4"/>
        <v>––––––––––––––––––● 9%</v>
      </c>
      <c r="M123" s="71"/>
      <c r="N123" s="71"/>
      <c r="O123" s="72"/>
      <c r="P123" s="61"/>
    </row>
    <row r="124" spans="3:17">
      <c r="C124">
        <v>29</v>
      </c>
      <c r="D124" s="5" t="s">
        <v>47</v>
      </c>
      <c r="E124" s="6" t="s">
        <v>66</v>
      </c>
      <c r="F124" s="6">
        <v>13.95</v>
      </c>
      <c r="G124" s="6">
        <v>214</v>
      </c>
      <c r="H124" s="65">
        <v>2985.3</v>
      </c>
      <c r="I124" s="63">
        <f t="shared" si="2"/>
        <v>8.5792371712341386E-2</v>
      </c>
      <c r="K124" s="75" t="str">
        <f t="shared" si="3"/>
        <v>Steak Tacos</v>
      </c>
      <c r="L124" s="70" t="str">
        <f t="shared" si="4"/>
        <v>–––––––––––––––––● 9%</v>
      </c>
      <c r="M124" s="71"/>
      <c r="N124" s="71"/>
      <c r="O124" s="72"/>
      <c r="P124" s="61"/>
    </row>
    <row r="125" spans="3:17">
      <c r="C125">
        <v>28</v>
      </c>
      <c r="D125" s="5" t="s">
        <v>41</v>
      </c>
      <c r="E125" s="6" t="s">
        <v>66</v>
      </c>
      <c r="F125" s="6">
        <v>10.5</v>
      </c>
      <c r="G125" s="6">
        <v>233</v>
      </c>
      <c r="H125" s="65">
        <v>2446.5</v>
      </c>
      <c r="I125" s="63">
        <f t="shared" si="2"/>
        <v>7.0308189258782419E-2</v>
      </c>
      <c r="K125" s="75" t="str">
        <f t="shared" si="3"/>
        <v>Cheese Quesadillas</v>
      </c>
      <c r="L125" s="70" t="str">
        <f t="shared" si="4"/>
        <v>––––––––––––––● 7%</v>
      </c>
      <c r="M125" s="71"/>
      <c r="N125" s="71"/>
      <c r="O125" s="72"/>
      <c r="P125" s="61"/>
    </row>
    <row r="126" spans="3:17">
      <c r="C126">
        <v>27</v>
      </c>
      <c r="D126" s="5" t="s">
        <v>37</v>
      </c>
      <c r="E126" s="6" t="s">
        <v>66</v>
      </c>
      <c r="F126" s="6">
        <v>9</v>
      </c>
      <c r="G126" s="6">
        <v>237</v>
      </c>
      <c r="H126" s="65">
        <v>2133</v>
      </c>
      <c r="I126" s="63">
        <f t="shared" si="2"/>
        <v>6.1298740114033481E-2</v>
      </c>
      <c r="K126" s="75" t="str">
        <f t="shared" si="3"/>
        <v>Chips &amp; Guacamole</v>
      </c>
      <c r="L126" s="70" t="str">
        <f t="shared" si="4"/>
        <v>––––––––––––● 6%</v>
      </c>
      <c r="M126" s="71"/>
      <c r="N126" s="71"/>
      <c r="O126" s="72"/>
      <c r="P126" s="61"/>
    </row>
    <row r="127" spans="3:17">
      <c r="C127">
        <v>32</v>
      </c>
      <c r="D127" s="5" t="s">
        <v>43</v>
      </c>
      <c r="E127" s="6" t="s">
        <v>66</v>
      </c>
      <c r="F127" s="6">
        <v>11.95</v>
      </c>
      <c r="G127" s="6">
        <v>123</v>
      </c>
      <c r="H127" s="65">
        <v>1469.85</v>
      </c>
      <c r="I127" s="63">
        <f t="shared" si="2"/>
        <v>4.2240953191098038E-2</v>
      </c>
      <c r="K127" s="76" t="str">
        <f t="shared" si="3"/>
        <v>Chicken Tacos</v>
      </c>
      <c r="L127" s="77" t="str">
        <f t="shared" si="4"/>
        <v>––––––––● 4%</v>
      </c>
      <c r="M127" s="78"/>
      <c r="N127" s="78"/>
      <c r="O127" s="79"/>
      <c r="P127" s="61"/>
    </row>
    <row r="128" spans="3:17">
      <c r="O128" s="59"/>
      <c r="P128" s="60"/>
      <c r="Q128" s="61"/>
    </row>
    <row r="129" spans="1:17">
      <c r="O129" s="59"/>
      <c r="P129" s="60"/>
      <c r="Q129" s="61"/>
    </row>
    <row r="130" spans="1:17" ht="17" thickBot="1">
      <c r="O130" s="59"/>
      <c r="P130" s="60"/>
      <c r="Q130" s="61"/>
    </row>
    <row r="131" spans="1:17" ht="18" thickBot="1">
      <c r="D131" s="12" t="s">
        <v>142</v>
      </c>
      <c r="E131" s="15"/>
      <c r="F131" s="18"/>
      <c r="O131" s="59"/>
      <c r="P131" s="60"/>
      <c r="Q131" s="61"/>
    </row>
    <row r="132" spans="1:17">
      <c r="O132" s="59"/>
      <c r="P132" s="60"/>
      <c r="Q132" s="61"/>
    </row>
    <row r="133" spans="1:17" ht="17">
      <c r="A133" s="27">
        <v>3.71</v>
      </c>
      <c r="B133" s="31" t="s">
        <v>88</v>
      </c>
      <c r="D133" s="34" t="s">
        <v>101</v>
      </c>
      <c r="E133" s="34" t="s">
        <v>143</v>
      </c>
      <c r="F133" t="s">
        <v>144</v>
      </c>
      <c r="O133" s="59"/>
      <c r="P133" s="60"/>
      <c r="Q133" s="61"/>
    </row>
    <row r="134" spans="1:17">
      <c r="D134" s="35" t="s">
        <v>60</v>
      </c>
      <c r="E134" s="33">
        <v>6.6290285200344939E-2</v>
      </c>
      <c r="F134" s="67">
        <v>17.95</v>
      </c>
      <c r="O134" s="59"/>
      <c r="P134" s="60"/>
      <c r="Q134" s="61"/>
    </row>
    <row r="135" spans="1:17">
      <c r="D135" s="35" t="s">
        <v>61</v>
      </c>
      <c r="E135" s="33">
        <v>5.2987132728166873E-2</v>
      </c>
      <c r="F135" s="67">
        <v>17.95</v>
      </c>
      <c r="O135" s="59"/>
      <c r="P135" s="60"/>
      <c r="Q135" s="61"/>
    </row>
    <row r="136" spans="1:17">
      <c r="D136" s="35" t="s">
        <v>50</v>
      </c>
      <c r="E136" s="33">
        <v>5.1181431233548492E-2</v>
      </c>
      <c r="F136" s="67">
        <v>14.5</v>
      </c>
      <c r="O136" s="59"/>
      <c r="P136" s="60"/>
      <c r="Q136" s="61"/>
    </row>
    <row r="137" spans="1:17">
      <c r="D137" s="35" t="s">
        <v>49</v>
      </c>
      <c r="E137" s="33">
        <v>5.1079997914807322E-2</v>
      </c>
      <c r="F137" s="67">
        <v>13.95</v>
      </c>
      <c r="O137" s="59"/>
      <c r="P137" s="60"/>
      <c r="Q137" s="61"/>
    </row>
    <row r="138" spans="1:17">
      <c r="D138" s="35" t="s">
        <v>46</v>
      </c>
      <c r="E138" s="33">
        <v>5.0590417283483832E-2</v>
      </c>
      <c r="F138" s="67">
        <v>12.95</v>
      </c>
      <c r="O138" s="59"/>
      <c r="P138" s="60"/>
      <c r="Q138" s="61"/>
    </row>
    <row r="139" spans="1:17">
      <c r="D139" s="35" t="s">
        <v>102</v>
      </c>
      <c r="E139" s="33">
        <v>0.27212926436035145</v>
      </c>
      <c r="F139" s="67">
        <v>77.300000000000011</v>
      </c>
      <c r="O139" s="59"/>
      <c r="P139" s="60"/>
      <c r="Q139" s="61"/>
    </row>
    <row r="140" spans="1:17">
      <c r="O140" s="59"/>
      <c r="P140" s="60"/>
      <c r="Q140" s="61"/>
    </row>
    <row r="141" spans="1:17">
      <c r="O141" s="59"/>
      <c r="P141" s="60"/>
      <c r="Q141" s="61"/>
    </row>
  </sheetData>
  <sortState xmlns:xlrd2="http://schemas.microsoft.com/office/spreadsheetml/2017/richdata2" ref="D14:I18">
    <sortCondition descending="1" ref="D14:D18" customList="Brunch,Lunch,Afternoon,Dinner,Late Dinner"/>
  </sortState>
  <conditionalFormatting sqref="E14:E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{EB26CAF6-FF4B-1044-BC8A-8BCAD3350F83}</x14:id>
        </ext>
      </extLst>
    </cfRule>
  </conditionalFormatting>
  <conditionalFormatting sqref="E25:E3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{86CFAC11-706D-3240-917B-E76C35178E3C}</x14:id>
        </ext>
      </extLst>
    </cfRule>
  </conditionalFormatting>
  <conditionalFormatting sqref="F14:F18">
    <cfRule type="colorScale" priority="1">
      <colorScale>
        <cfvo type="min"/>
        <cfvo type="max"/>
        <color rgb="FFFCFCFF"/>
        <color theme="7"/>
      </colorScale>
    </cfRule>
  </conditionalFormatting>
  <conditionalFormatting sqref="F25:F31">
    <cfRule type="colorScale" priority="3">
      <colorScale>
        <cfvo type="min"/>
        <cfvo type="max"/>
        <color rgb="FFFCFCFF"/>
        <color theme="7"/>
      </colorScale>
    </cfRule>
  </conditionalFormatting>
  <conditionalFormatting sqref="F38:F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{EAD6ABFD-3142-2843-852B-A5134821D93C}</x14:id>
        </ext>
      </extLst>
    </cfRule>
  </conditionalFormatting>
  <conditionalFormatting sqref="G14:G18">
    <cfRule type="colorScale" priority="9">
      <colorScale>
        <cfvo type="min"/>
        <cfvo type="max"/>
        <color rgb="FFFCFCFF"/>
        <color rgb="FF63BE7B"/>
      </colorScale>
    </cfRule>
  </conditionalFormatting>
  <conditionalFormatting sqref="G25:G31">
    <cfRule type="colorScale" priority="8">
      <colorScale>
        <cfvo type="min"/>
        <cfvo type="max"/>
        <color rgb="FFFCFCFF"/>
        <color rgb="FF63BE7B"/>
      </colorScale>
    </cfRule>
  </conditionalFormatting>
  <conditionalFormatting sqref="G38:G41">
    <cfRule type="colorScale" priority="7">
      <colorScale>
        <cfvo type="min"/>
        <cfvo type="max"/>
        <color rgb="FFFCFCFF"/>
        <color rgb="FF63BE7B"/>
      </colorScale>
    </cfRule>
  </conditionalFormatting>
  <conditionalFormatting sqref="K96:L127">
    <cfRule type="cellIs" dxfId="3" priority="19" stopIfTrue="1" operator="equal">
      <formula>$E$27</formula>
    </cfRule>
    <cfRule type="cellIs" dxfId="2" priority="20" stopIfTrue="1" operator="equal">
      <formula>$E$12</formula>
    </cfRule>
    <cfRule type="cellIs" dxfId="1" priority="21" operator="equal">
      <formula>$E$7</formula>
    </cfRule>
    <cfRule type="cellIs" dxfId="0" priority="22" operator="equal">
      <formula>$E$11</formula>
    </cfRule>
  </conditionalFormatting>
  <conditionalFormatting sqref="L59:N63">
    <cfRule type="colorScale" priority="27">
      <colorScale>
        <cfvo type="min"/>
        <cfvo type="percentile" val="50"/>
        <cfvo type="max"/>
        <color rgb="FFE7E6E6"/>
        <color rgb="FFE0F6ED"/>
        <color rgb="FF0AD7A0"/>
      </colorScale>
    </cfRule>
  </conditionalFormatting>
  <conditionalFormatting sqref="L81:N87">
    <cfRule type="colorScale" priority="24">
      <colorScale>
        <cfvo type="min"/>
        <cfvo type="percentile" val="50"/>
        <cfvo type="max"/>
        <color rgb="FFE7E6E6"/>
        <color rgb="FFE0F6ED"/>
        <color rgb="FF0AD7A0"/>
      </colorScale>
    </cfRule>
  </conditionalFormatting>
  <pageMargins left="0.7" right="0.7" top="0.75" bottom="0.75" header="0.3" footer="0.3"/>
  <pageSetup orientation="portrait" horizontalDpi="0" verticalDpi="0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6CAF6-FF4B-1044-BC8A-8BCAD3350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E14:E18</xm:sqref>
        </x14:conditionalFormatting>
        <x14:conditionalFormatting xmlns:xm="http://schemas.microsoft.com/office/excel/2006/main">
          <x14:cfRule type="dataBar" id="{86CFAC11-706D-3240-917B-E76C35178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E25:E31</xm:sqref>
        </x14:conditionalFormatting>
        <x14:conditionalFormatting xmlns:xm="http://schemas.microsoft.com/office/excel/2006/main">
          <x14:cfRule type="dataBar" id="{EAD6ABFD-3142-2843-852B-A5134821D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F38:F41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 &amp; Pricing Analysis</vt:lpstr>
      <vt:lpstr>Ordering Behaviour</vt:lpstr>
      <vt:lpstr>Sales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Micov</dc:creator>
  <cp:lastModifiedBy>Irina Micov</cp:lastModifiedBy>
  <dcterms:created xsi:type="dcterms:W3CDTF">2025-04-13T12:35:40Z</dcterms:created>
  <dcterms:modified xsi:type="dcterms:W3CDTF">2026-03-25T21:18:54Z</dcterms:modified>
</cp:coreProperties>
</file>